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8025"/>
  </bookViews>
  <sheets>
    <sheet name="Data" sheetId="1" r:id="rId1"/>
    <sheet name="Info" sheetId="2" r:id="rId2"/>
  </sheets>
  <calcPr calcId="162913"/>
</workbook>
</file>

<file path=xl/calcChain.xml><?xml version="1.0" encoding="utf-8"?>
<calcChain xmlns="http://schemas.openxmlformats.org/spreadsheetml/2006/main">
  <c r="B14" i="2" l="1"/>
  <c r="B13" i="2"/>
  <c r="B12" i="2"/>
  <c r="B7" i="2"/>
  <c r="B6" i="2"/>
  <c r="B5" i="2"/>
  <c r="E2" i="1" l="1"/>
  <c r="K2" i="1"/>
  <c r="E3" i="1"/>
  <c r="E4" i="1"/>
  <c r="E5" i="1"/>
  <c r="E6" i="1"/>
  <c r="K6" i="1"/>
  <c r="E7" i="1"/>
  <c r="E8" i="1"/>
  <c r="E9" i="1"/>
  <c r="E10" i="1"/>
  <c r="E11" i="1"/>
  <c r="E12" i="1"/>
  <c r="E13" i="1"/>
  <c r="E14" i="1"/>
  <c r="K14" i="1"/>
  <c r="E15" i="1"/>
  <c r="K15" i="1"/>
  <c r="E16" i="1"/>
  <c r="E17" i="1"/>
  <c r="E18" i="1"/>
  <c r="E19" i="1"/>
  <c r="K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K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K67" i="1"/>
  <c r="E68" i="1"/>
  <c r="E69" i="1"/>
  <c r="E70" i="1"/>
  <c r="E71" i="1"/>
  <c r="E72" i="1"/>
  <c r="E73" i="1"/>
  <c r="E74" i="1"/>
  <c r="E75" i="1"/>
  <c r="E76" i="1"/>
  <c r="E77" i="1"/>
  <c r="G77" i="1"/>
  <c r="E78" i="1"/>
  <c r="G78" i="1"/>
  <c r="E79" i="1"/>
  <c r="E80" i="1"/>
  <c r="E81" i="1"/>
  <c r="G81" i="1"/>
  <c r="E82" i="1"/>
  <c r="E83" i="1"/>
  <c r="E84" i="1"/>
  <c r="E85" i="1"/>
  <c r="E86" i="1"/>
  <c r="E87" i="1"/>
  <c r="K87" i="1"/>
  <c r="E88" i="1"/>
  <c r="E89" i="1"/>
  <c r="E90" i="1"/>
  <c r="G90" i="1"/>
  <c r="E91" i="1"/>
  <c r="E92" i="1"/>
  <c r="E93" i="1"/>
  <c r="G93" i="1"/>
  <c r="E94" i="1"/>
  <c r="E95" i="1"/>
  <c r="E96" i="1"/>
  <c r="G96" i="1"/>
  <c r="E97" i="1"/>
  <c r="E98" i="1"/>
  <c r="E99" i="1"/>
  <c r="E100" i="1"/>
  <c r="E101" i="1"/>
  <c r="E102" i="1"/>
  <c r="E103" i="1"/>
  <c r="G103" i="1"/>
  <c r="E104" i="1"/>
  <c r="E105" i="1"/>
  <c r="G105" i="1"/>
  <c r="E106" i="1"/>
  <c r="G106" i="1"/>
  <c r="E107" i="1"/>
  <c r="E108" i="1"/>
  <c r="E109" i="1"/>
  <c r="E110" i="1"/>
  <c r="G110" i="1"/>
  <c r="E111" i="1"/>
  <c r="E112" i="1"/>
  <c r="E113" i="1"/>
  <c r="G113" i="1"/>
  <c r="E114" i="1"/>
  <c r="E115" i="1"/>
  <c r="K115" i="1"/>
  <c r="E116" i="1"/>
  <c r="E117" i="1"/>
  <c r="E118" i="1"/>
  <c r="G118" i="1"/>
  <c r="E119" i="1"/>
  <c r="E120" i="1"/>
  <c r="E121" i="1"/>
  <c r="E122" i="1"/>
  <c r="G122" i="1"/>
  <c r="E123" i="1"/>
  <c r="E124" i="1"/>
  <c r="G124" i="1"/>
  <c r="E125" i="1"/>
  <c r="E126" i="1"/>
  <c r="E127" i="1"/>
  <c r="E128" i="1"/>
  <c r="K128" i="1"/>
  <c r="E129" i="1"/>
  <c r="E130" i="1"/>
  <c r="E131" i="1"/>
  <c r="G131" i="1"/>
  <c r="E132" i="1"/>
  <c r="E133" i="1"/>
  <c r="K133" i="1"/>
  <c r="E134" i="1"/>
  <c r="K134" i="1"/>
  <c r="E135" i="1"/>
  <c r="E136" i="1"/>
  <c r="E137" i="1"/>
  <c r="E138" i="1"/>
  <c r="K138" i="1"/>
  <c r="E139" i="1"/>
  <c r="E140" i="1"/>
  <c r="E141" i="1"/>
  <c r="K141" i="1"/>
  <c r="E142" i="1"/>
  <c r="E143" i="1"/>
  <c r="E144" i="1"/>
  <c r="E145" i="1"/>
  <c r="K145" i="1"/>
  <c r="E146" i="1"/>
  <c r="E147" i="1"/>
  <c r="E148" i="1"/>
  <c r="G148" i="1"/>
  <c r="E149" i="1"/>
  <c r="E150" i="1"/>
  <c r="E151" i="1"/>
  <c r="E152" i="1"/>
  <c r="E153" i="1"/>
  <c r="E154" i="1"/>
  <c r="G154" i="1"/>
  <c r="E155" i="1"/>
  <c r="E156" i="1"/>
  <c r="E157" i="1"/>
  <c r="G157" i="1"/>
  <c r="E158" i="1"/>
  <c r="G158" i="1"/>
  <c r="E159" i="1"/>
  <c r="E160" i="1"/>
  <c r="E161" i="1"/>
  <c r="E162" i="1"/>
  <c r="K162" i="1"/>
  <c r="E163" i="1"/>
  <c r="K163" i="1"/>
  <c r="E164" i="1"/>
  <c r="E165" i="1"/>
  <c r="E166" i="1"/>
  <c r="E167" i="1"/>
  <c r="K167" i="1"/>
  <c r="E168" i="1"/>
  <c r="E169" i="1"/>
  <c r="E170" i="1"/>
  <c r="K170" i="1"/>
  <c r="E171" i="1"/>
  <c r="E172" i="1"/>
  <c r="E173" i="1"/>
  <c r="E174" i="1"/>
  <c r="G174" i="1"/>
  <c r="E175" i="1"/>
  <c r="E176" i="1"/>
  <c r="E177" i="1"/>
  <c r="E178" i="1"/>
  <c r="E179" i="1"/>
  <c r="E180" i="1"/>
  <c r="G180" i="1"/>
  <c r="E181" i="1"/>
  <c r="E182" i="1"/>
  <c r="G182" i="1"/>
  <c r="E183" i="1"/>
  <c r="E184" i="1"/>
  <c r="E185" i="1"/>
  <c r="E186" i="1"/>
  <c r="E187" i="1"/>
  <c r="E188" i="1"/>
  <c r="E189" i="1"/>
  <c r="G189" i="1"/>
  <c r="E190" i="1"/>
  <c r="E191" i="1"/>
  <c r="G191" i="1"/>
  <c r="E192" i="1"/>
  <c r="E193" i="1"/>
  <c r="K193" i="1"/>
  <c r="E194" i="1"/>
  <c r="E195" i="1"/>
  <c r="G195" i="1"/>
  <c r="E196" i="1"/>
  <c r="E197" i="1"/>
  <c r="K197" i="1"/>
  <c r="K198" i="1"/>
  <c r="K200" i="1"/>
  <c r="K202" i="1"/>
  <c r="G204" i="1"/>
  <c r="G205" i="1"/>
  <c r="G209" i="1"/>
  <c r="G213" i="1"/>
  <c r="K220" i="1"/>
  <c r="G223" i="1"/>
  <c r="G226" i="1"/>
  <c r="G227" i="1"/>
  <c r="G228" i="1"/>
  <c r="G231" i="1"/>
  <c r="G238" i="1"/>
  <c r="G239" i="1"/>
  <c r="E247" i="1"/>
  <c r="E248" i="1"/>
  <c r="E249" i="1"/>
  <c r="E250" i="1"/>
  <c r="E251" i="1"/>
  <c r="E252" i="1"/>
  <c r="G252" i="1"/>
  <c r="E253" i="1"/>
  <c r="E254" i="1"/>
  <c r="E255" i="1"/>
  <c r="E256" i="1"/>
  <c r="G256" i="1"/>
  <c r="E257" i="1"/>
  <c r="E258" i="1"/>
  <c r="G269" i="1"/>
  <c r="G280" i="1"/>
  <c r="G285" i="1"/>
  <c r="G304" i="1"/>
  <c r="G305" i="1"/>
  <c r="G310" i="1"/>
  <c r="E311" i="1"/>
  <c r="E312" i="1"/>
  <c r="E313" i="1"/>
  <c r="G317" i="1"/>
  <c r="G322" i="1"/>
  <c r="G326" i="1"/>
  <c r="G333" i="1"/>
  <c r="G334" i="1"/>
  <c r="K334" i="1"/>
  <c r="G336" i="1"/>
  <c r="K352" i="1"/>
</calcChain>
</file>

<file path=xl/sharedStrings.xml><?xml version="1.0" encoding="utf-8"?>
<sst xmlns="http://schemas.openxmlformats.org/spreadsheetml/2006/main" count="2338" uniqueCount="225">
  <si>
    <t>Rows</t>
  </si>
  <si>
    <t>Chaîne</t>
  </si>
  <si>
    <t>Date</t>
  </si>
  <si>
    <t>Jour Nommé</t>
  </si>
  <si>
    <t>Code Ecran</t>
  </si>
  <si>
    <t>Code Program</t>
  </si>
  <si>
    <t>Programme</t>
  </si>
  <si>
    <t>H.Début</t>
  </si>
  <si>
    <t>H.Fin</t>
  </si>
  <si>
    <t>Durée</t>
  </si>
  <si>
    <t>Libellé Complémentaire</t>
  </si>
  <si>
    <t>Code Genre</t>
  </si>
  <si>
    <t>Genre Niv.1</t>
  </si>
  <si>
    <t>Genre Niv.2</t>
  </si>
  <si>
    <t>Genre Niv.3</t>
  </si>
  <si>
    <t>AL AOULA</t>
  </si>
  <si>
    <t>Lundi</t>
  </si>
  <si>
    <t>CANAL ATLAS</t>
  </si>
  <si>
    <t>EBK</t>
  </si>
  <si>
    <t>CULTURE CONNAISSANCE</t>
  </si>
  <si>
    <t>MAGAZINE hors religieux</t>
  </si>
  <si>
    <t>Vie quotidienne / pratique</t>
  </si>
  <si>
    <t>AUTO PROMOTION</t>
  </si>
  <si>
    <t>JA</t>
  </si>
  <si>
    <t>DIVERS</t>
  </si>
  <si>
    <t>FORJA MOBILE : CREATION D UN COMPTE</t>
  </si>
  <si>
    <t>JFA</t>
  </si>
  <si>
    <t>COMMUNIQUES ( EXTERIEURS A LA CHAINE )</t>
  </si>
  <si>
    <t>Message Intérêt Général/Messages Gouvernemtaux</t>
  </si>
  <si>
    <t>AL BOYOUT ASSRAR</t>
  </si>
  <si>
    <t>ACF</t>
  </si>
  <si>
    <t>FICTION</t>
  </si>
  <si>
    <t>SERIE</t>
  </si>
  <si>
    <t>Drame psychologique / Comédie dramatique</t>
  </si>
  <si>
    <t>PLATEFORME FORJA</t>
  </si>
  <si>
    <t>FEN WA ASSALA</t>
  </si>
  <si>
    <t>REDIFFUSION</t>
  </si>
  <si>
    <t>EBD</t>
  </si>
  <si>
    <t>Arts, culture</t>
  </si>
  <si>
    <t>FORJA -SMART TV-</t>
  </si>
  <si>
    <t>RIHLAT AL KHAT AL MAGHRIBI</t>
  </si>
  <si>
    <t>EAD</t>
  </si>
  <si>
    <t>DOCUMENTAIRE hors religieux</t>
  </si>
  <si>
    <t xml:space="preserve">     RIHLAT AL KHAT AL MAGHRIBI (DEBUT)</t>
  </si>
  <si>
    <t xml:space="preserve">     AUTO PROMOTION</t>
  </si>
  <si>
    <t xml:space="preserve">     APPEL A LA PRIERE</t>
  </si>
  <si>
    <t>FB</t>
  </si>
  <si>
    <t>CULTURE RELIGIEUSE</t>
  </si>
  <si>
    <t>APPEL A LA PRIERE</t>
  </si>
  <si>
    <t xml:space="preserve">     RIHLAT AL KHAT AL MAGHRIBI (SUITE)</t>
  </si>
  <si>
    <t>AMAKIN FI ADDAKIRA</t>
  </si>
  <si>
    <t>TAFRAOUAT JAWHARAT EL ATLAS SAGHIR(REDIFFUSION)</t>
  </si>
  <si>
    <t>EAF</t>
  </si>
  <si>
    <t>Loisirs, tourisme, géographie, sport</t>
  </si>
  <si>
    <t>HYMNE NATIONAL</t>
  </si>
  <si>
    <t>Z</t>
  </si>
  <si>
    <t>AUTRES</t>
  </si>
  <si>
    <t>LECTURE DU CORAN</t>
  </si>
  <si>
    <t>FA</t>
  </si>
  <si>
    <t>METEO</t>
  </si>
  <si>
    <t>LAILA AGHBAL</t>
  </si>
  <si>
    <t>DEA</t>
  </si>
  <si>
    <t>INFORMATION</t>
  </si>
  <si>
    <t>INFORMATION DE SERVICE</t>
  </si>
  <si>
    <t>Météo</t>
  </si>
  <si>
    <t>FORJA -APPLICATION MOBILE-</t>
  </si>
  <si>
    <t>TOUS POUR L ENVIRONNEMENT</t>
  </si>
  <si>
    <t>SENSIBILISATION DE PROTECTION DES DONNEES A CARACTERE PERSONNEL-CNDP-</t>
  </si>
  <si>
    <t>EL GHALIA BLADI</t>
  </si>
  <si>
    <t>CHEFCHAOUNE</t>
  </si>
  <si>
    <t>LARACHE TARWI TARIKH</t>
  </si>
  <si>
    <t>AABQARIYAT MAGHRIBIYA</t>
  </si>
  <si>
    <t>AL ADAB AL MAGHRIBI</t>
  </si>
  <si>
    <t>EAE</t>
  </si>
  <si>
    <t>Littérature</t>
  </si>
  <si>
    <t>OUSSRATI</t>
  </si>
  <si>
    <t>EBZ</t>
  </si>
  <si>
    <t>Autres</t>
  </si>
  <si>
    <t>LES SCIENCES AUDITIVES A RABAT -INSCRIPTION@ULAMAROC.ORG-</t>
  </si>
  <si>
    <t>ZWAJI MOUHAL</t>
  </si>
  <si>
    <t>ACA</t>
  </si>
  <si>
    <t>Comédie</t>
  </si>
  <si>
    <t>BNAT SI TAHER</t>
  </si>
  <si>
    <t>RASS LMHAYEN</t>
  </si>
  <si>
    <t xml:space="preserve">     RASS LMHAYEN (DEBUT)</t>
  </si>
  <si>
    <t xml:space="preserve">     RASS LMHAYEN (SUITE)</t>
  </si>
  <si>
    <t>JFZ</t>
  </si>
  <si>
    <t>Autres communiqués</t>
  </si>
  <si>
    <t>JOURNAL TELEVISE EN ARABE</t>
  </si>
  <si>
    <t>SOUKAINA EL IDRISSI</t>
  </si>
  <si>
    <t>DA</t>
  </si>
  <si>
    <t>JOURNAL</t>
  </si>
  <si>
    <t>KOULHA WA TRIQOU</t>
  </si>
  <si>
    <t>JOURNAL TELEVISE EN AMAZIGH</t>
  </si>
  <si>
    <t>FATIMA ANJDAM</t>
  </si>
  <si>
    <t>JOURNAL TELEVISE EN ESPAGNOL</t>
  </si>
  <si>
    <t>MERIEM EL MOHAFIDE</t>
  </si>
  <si>
    <t>AMALAY</t>
  </si>
  <si>
    <t>NADOR</t>
  </si>
  <si>
    <t>EBI</t>
  </si>
  <si>
    <t>Société</t>
  </si>
  <si>
    <t>BCB</t>
  </si>
  <si>
    <t>SPECTACLE VIVANT</t>
  </si>
  <si>
    <t>CONCERT</t>
  </si>
  <si>
    <t>variété arabe</t>
  </si>
  <si>
    <t>MAALIM WA DILAL</t>
  </si>
  <si>
    <t>CHABAB AL MAMLAKA..ANNABD AL MOTAJADID</t>
  </si>
  <si>
    <t>JOURNAL TELEVISE EN FRANCAIS</t>
  </si>
  <si>
    <t>MERYEM EL MISSI</t>
  </si>
  <si>
    <t>BNAT LAASSASS</t>
  </si>
  <si>
    <t>ADF</t>
  </si>
  <si>
    <t>FEUILLETON</t>
  </si>
  <si>
    <t xml:space="preserve">     BNAT LAASSASS (DEBUT)</t>
  </si>
  <si>
    <t xml:space="preserve">     FORJA MOBILE : CREATION D UN COMPTE</t>
  </si>
  <si>
    <t xml:space="preserve">     TOUS POUR L ENVIRONNEMENT</t>
  </si>
  <si>
    <t xml:space="preserve">     BNAT LAASSASS (SUITE)</t>
  </si>
  <si>
    <t xml:space="preserve">     FORJA GENERIQUE</t>
  </si>
  <si>
    <t>ROEYA WA MAWAQIF -INEDIT-</t>
  </si>
  <si>
    <t>EBN</t>
  </si>
  <si>
    <t>Politique (programme récurrent)</t>
  </si>
  <si>
    <t>MERIEM ELOUFIR</t>
  </si>
  <si>
    <t>LOUBNA BEN ERRAMI</t>
  </si>
  <si>
    <t>AICHA</t>
  </si>
  <si>
    <t xml:space="preserve">     AICHA (DEBUT)</t>
  </si>
  <si>
    <t xml:space="preserve">     LES SCIENCES AUDITIVES A RABAT -INSCRIPTION@ULAMAROC.ORG-</t>
  </si>
  <si>
    <t xml:space="preserve">     AICHA (SUITE)</t>
  </si>
  <si>
    <t>FORJA GENERIQUE</t>
  </si>
  <si>
    <t>AABAQ ATTOURAT</t>
  </si>
  <si>
    <t>LARACHE - HAKOUZ</t>
  </si>
  <si>
    <t>ABIR ELMALLOUKI</t>
  </si>
  <si>
    <t>2M</t>
  </si>
  <si>
    <t>ADDAM AL MACHROUK</t>
  </si>
  <si>
    <t>AHSANE PATISSIER CELEBRITY</t>
  </si>
  <si>
    <t>CCB</t>
  </si>
  <si>
    <t>VARIETE DIVERTISSEMENT</t>
  </si>
  <si>
    <t>JEU</t>
  </si>
  <si>
    <t>Jeux non interactifs</t>
  </si>
  <si>
    <t>LHARBA</t>
  </si>
  <si>
    <t>AL IJTIMAE</t>
  </si>
  <si>
    <t>CH HIWAT BLADI</t>
  </si>
  <si>
    <t>EBO</t>
  </si>
  <si>
    <t>Culinaire</t>
  </si>
  <si>
    <t>KIF LHAL</t>
  </si>
  <si>
    <t>DNA AL HAYAWANAT</t>
  </si>
  <si>
    <t>EAC</t>
  </si>
  <si>
    <t>Nature, animaux</t>
  </si>
  <si>
    <t>GHIDAE WA SIHA</t>
  </si>
  <si>
    <t>EAB</t>
  </si>
  <si>
    <t>Santé</t>
  </si>
  <si>
    <t>ZOUR BLADEK</t>
  </si>
  <si>
    <t>TWAHACHNAK</t>
  </si>
  <si>
    <t>BENT BLADI</t>
  </si>
  <si>
    <t>CH HIWA MAA CHOUMICHA</t>
  </si>
  <si>
    <t>AQBA LIKE</t>
  </si>
  <si>
    <t>AMINA EL HACHOUMI</t>
  </si>
  <si>
    <t>ZAHRA AIT IHL</t>
  </si>
  <si>
    <t>KHOYOUT AL QADAR -DBL-</t>
  </si>
  <si>
    <t xml:space="preserve">     KHOYOUT AL QADAR -DBL- (DEBUT)</t>
  </si>
  <si>
    <t xml:space="preserve">     KHOYOUT AL QADAR -DBL- (SUITE)</t>
  </si>
  <si>
    <t>BILLBOARD</t>
  </si>
  <si>
    <t>IA</t>
  </si>
  <si>
    <t>PUBLICITE</t>
  </si>
  <si>
    <t>ECRAN PUBLICITAIRE</t>
  </si>
  <si>
    <t>LE TROPHEE TILILA</t>
  </si>
  <si>
    <t>8EME EDITION</t>
  </si>
  <si>
    <t>AAILTI -TURC</t>
  </si>
  <si>
    <t xml:space="preserve">     AAILTI -TURC (DEBUT)</t>
  </si>
  <si>
    <t xml:space="preserve">     PUBLICITE</t>
  </si>
  <si>
    <t xml:space="preserve">     AAILTI -TURC (SUITE)</t>
  </si>
  <si>
    <t>TARIQ ATTAHADDI</t>
  </si>
  <si>
    <t>BEST OF</t>
  </si>
  <si>
    <t xml:space="preserve">     TARIQ ATTAHADDI (DEBUT)</t>
  </si>
  <si>
    <t xml:space="preserve">     TARIQ ATTAHADDI (SUITE)</t>
  </si>
  <si>
    <t>ESME ET ROY</t>
  </si>
  <si>
    <t>HEB</t>
  </si>
  <si>
    <t>JEUNESSE</t>
  </si>
  <si>
    <t>DESSINS ANIMES (hors films et téléfilms)</t>
  </si>
  <si>
    <t>Action Aventure</t>
  </si>
  <si>
    <t>MOUGHAMARAT BAMBOU WA KIWI</t>
  </si>
  <si>
    <t xml:space="preserve">     CH HIWA MAA CHOUMICHA (DEBUT)</t>
  </si>
  <si>
    <t xml:space="preserve">     CH HIWA MAA CHOUMICHA (SUITE)</t>
  </si>
  <si>
    <t>BAHR ADDALAM -DBL-</t>
  </si>
  <si>
    <t xml:space="preserve">     BAHR ADDALAM -DBL- (DEBUT)</t>
  </si>
  <si>
    <t xml:space="preserve">     BAHR ADDALAM -DBL- (SUITE)</t>
  </si>
  <si>
    <t>QALB ASWAD -DBL-</t>
  </si>
  <si>
    <t xml:space="preserve">     QALB ASWAD -DBL- (DEBUT)</t>
  </si>
  <si>
    <t xml:space="preserve">     QALB ASWAD -DBL- (SUITE)</t>
  </si>
  <si>
    <t>SALIMA BENABOU</t>
  </si>
  <si>
    <t>LEILA KIM ZRIOULI</t>
  </si>
  <si>
    <t>ECONEWS FR</t>
  </si>
  <si>
    <t>SARA FAIQ</t>
  </si>
  <si>
    <t>DEB</t>
  </si>
  <si>
    <t>Bourse</t>
  </si>
  <si>
    <t>ZAKARIA AIT ABDELMAJID</t>
  </si>
  <si>
    <t>ECONEWS AR</t>
  </si>
  <si>
    <t>MENNA ELYAHYAOUI</t>
  </si>
  <si>
    <t>CHOUK AL WARD</t>
  </si>
  <si>
    <t>ABF</t>
  </si>
  <si>
    <t>TELEFILM</t>
  </si>
  <si>
    <t xml:space="preserve">     CHOUK AL WARD (DEBUT)</t>
  </si>
  <si>
    <t xml:space="preserve">     CHOUK AL WARD (SUITE)</t>
  </si>
  <si>
    <t>RACHID SHOW</t>
  </si>
  <si>
    <t>KAOUTAR BERRANI ET ABIR ABID (REDIFFUSION)</t>
  </si>
  <si>
    <t>CE</t>
  </si>
  <si>
    <t>TALK-SHOW</t>
  </si>
  <si>
    <t>DREAM ARTIST CELEBRITY</t>
  </si>
  <si>
    <t>Filter</t>
  </si>
  <si>
    <t>Info</t>
  </si>
  <si>
    <t>"Db":</t>
  </si>
  <si>
    <t>Morocco TV</t>
  </si>
  <si>
    <t>"User":</t>
  </si>
  <si>
    <t>marocmat</t>
  </si>
  <si>
    <t>Media:</t>
  </si>
  <si>
    <t>Table de Diffusion</t>
  </si>
  <si>
    <t>Dates :</t>
  </si>
  <si>
    <t>Cibles:</t>
  </si>
  <si>
    <t xml:space="preserve">Cible de Référence: </t>
  </si>
  <si>
    <t>Chaîne(s):</t>
  </si>
  <si>
    <t>2M;   AL AOULA</t>
  </si>
  <si>
    <t xml:space="preserve">Chaîne de référence: </t>
  </si>
  <si>
    <t>Total  TV</t>
  </si>
  <si>
    <t>Analysis run on:</t>
  </si>
  <si>
    <t>Mode Analyse : [ Détail Evénements ] avec la disposition suivante :</t>
  </si>
  <si>
    <t>En Colonne :</t>
  </si>
  <si>
    <t>Universe: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</si>
</sst>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2"/>
  <sheetViews>
    <sheetView tabSelected="1" workbookViewId="0">
      <selection activeCell="K11" sqref="K11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1">
        <v>46265</v>
      </c>
      <c r="D2" t="s">
        <v>16</v>
      </c>
      <c r="E2" t="str">
        <f t="shared" ref="E2:E34" si="0">"07-10"</f>
        <v>07-10</v>
      </c>
      <c r="F2">
        <v>35</v>
      </c>
      <c r="G2" t="s">
        <v>17</v>
      </c>
      <c r="H2" s="2">
        <v>0.125</v>
      </c>
      <c r="I2" s="2">
        <v>0.1358449074074074</v>
      </c>
      <c r="J2" s="2">
        <v>1.0844907407407407E-2</v>
      </c>
      <c r="K2" t="str">
        <f>"REDIFFUSION (SUITE 3H)"</f>
        <v>REDIFFUSION (SUITE 3H)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25">
      <c r="A3">
        <v>2</v>
      </c>
      <c r="B3" t="s">
        <v>15</v>
      </c>
      <c r="C3" s="1">
        <v>46265</v>
      </c>
      <c r="D3" t="s">
        <v>16</v>
      </c>
      <c r="E3" t="str">
        <f t="shared" si="0"/>
        <v>07-10</v>
      </c>
      <c r="F3">
        <v>1</v>
      </c>
      <c r="G3" t="s">
        <v>22</v>
      </c>
      <c r="H3" s="2">
        <v>0.1358449074074074</v>
      </c>
      <c r="I3" s="2">
        <v>0.13664351851851853</v>
      </c>
      <c r="J3" s="2">
        <v>7.9861111111111105E-4</v>
      </c>
      <c r="L3" t="s">
        <v>23</v>
      </c>
      <c r="M3" t="s">
        <v>24</v>
      </c>
      <c r="N3" t="s">
        <v>22</v>
      </c>
    </row>
    <row r="4" spans="1:15" x14ac:dyDescent="0.25">
      <c r="A4">
        <v>3</v>
      </c>
      <c r="B4" t="s">
        <v>15</v>
      </c>
      <c r="C4" s="1">
        <v>46265</v>
      </c>
      <c r="D4" t="s">
        <v>16</v>
      </c>
      <c r="E4" t="str">
        <f t="shared" si="0"/>
        <v>07-10</v>
      </c>
      <c r="F4">
        <v>5810</v>
      </c>
      <c r="G4" t="s">
        <v>25</v>
      </c>
      <c r="H4" s="2">
        <v>0.13664351851851853</v>
      </c>
      <c r="I4" s="2">
        <v>0.1370949074074074</v>
      </c>
      <c r="J4" s="2">
        <v>4.5138888888888892E-4</v>
      </c>
      <c r="L4" t="s">
        <v>26</v>
      </c>
      <c r="M4" t="s">
        <v>24</v>
      </c>
      <c r="N4" t="s">
        <v>27</v>
      </c>
      <c r="O4" t="s">
        <v>28</v>
      </c>
    </row>
    <row r="5" spans="1:15" x14ac:dyDescent="0.25">
      <c r="A5">
        <v>4</v>
      </c>
      <c r="B5" t="s">
        <v>15</v>
      </c>
      <c r="C5" s="1">
        <v>46265</v>
      </c>
      <c r="D5" t="s">
        <v>16</v>
      </c>
      <c r="E5" t="str">
        <f t="shared" si="0"/>
        <v>07-10</v>
      </c>
      <c r="F5">
        <v>1</v>
      </c>
      <c r="G5" t="s">
        <v>22</v>
      </c>
      <c r="H5" s="2">
        <v>0.1370949074074074</v>
      </c>
      <c r="I5" s="2">
        <v>0.13718749999999999</v>
      </c>
      <c r="J5" s="2">
        <v>9.2592592592592588E-5</v>
      </c>
      <c r="L5" t="s">
        <v>23</v>
      </c>
      <c r="M5" t="s">
        <v>24</v>
      </c>
      <c r="N5" t="s">
        <v>22</v>
      </c>
    </row>
    <row r="6" spans="1:15" x14ac:dyDescent="0.25">
      <c r="A6">
        <v>5</v>
      </c>
      <c r="B6" t="s">
        <v>15</v>
      </c>
      <c r="C6" s="1">
        <v>46265</v>
      </c>
      <c r="D6" t="s">
        <v>16</v>
      </c>
      <c r="E6" t="str">
        <f t="shared" si="0"/>
        <v>07-10</v>
      </c>
      <c r="F6">
        <v>5083</v>
      </c>
      <c r="G6" t="s">
        <v>29</v>
      </c>
      <c r="H6" s="2">
        <v>0.13718749999999999</v>
      </c>
      <c r="I6" s="2">
        <v>0.17395833333333333</v>
      </c>
      <c r="J6" s="2">
        <v>3.6770833333333336E-2</v>
      </c>
      <c r="K6" t="str">
        <f>"EPISODE 3 (REDIFFUSION)"</f>
        <v>EPISODE 3 (REDIFFUSION)</v>
      </c>
      <c r="L6" t="s">
        <v>30</v>
      </c>
      <c r="M6" t="s">
        <v>31</v>
      </c>
      <c r="N6" t="s">
        <v>32</v>
      </c>
      <c r="O6" t="s">
        <v>33</v>
      </c>
    </row>
    <row r="7" spans="1:15" x14ac:dyDescent="0.25">
      <c r="A7">
        <v>6</v>
      </c>
      <c r="B7" t="s">
        <v>15</v>
      </c>
      <c r="C7" s="1">
        <v>46265</v>
      </c>
      <c r="D7" t="s">
        <v>16</v>
      </c>
      <c r="E7" t="str">
        <f t="shared" si="0"/>
        <v>07-10</v>
      </c>
      <c r="F7">
        <v>1</v>
      </c>
      <c r="G7" t="s">
        <v>22</v>
      </c>
      <c r="H7" s="2">
        <v>0.17395833333333333</v>
      </c>
      <c r="I7" s="2">
        <v>0.17447916666666666</v>
      </c>
      <c r="J7" s="2">
        <v>5.2083333333333333E-4</v>
      </c>
      <c r="L7" t="s">
        <v>23</v>
      </c>
      <c r="M7" t="s">
        <v>24</v>
      </c>
      <c r="N7" t="s">
        <v>22</v>
      </c>
    </row>
    <row r="8" spans="1:15" x14ac:dyDescent="0.25">
      <c r="A8">
        <v>7</v>
      </c>
      <c r="B8" t="s">
        <v>15</v>
      </c>
      <c r="C8" s="1">
        <v>46265</v>
      </c>
      <c r="D8" t="s">
        <v>16</v>
      </c>
      <c r="E8" t="str">
        <f t="shared" si="0"/>
        <v>07-10</v>
      </c>
      <c r="F8">
        <v>5448</v>
      </c>
      <c r="G8" t="s">
        <v>34</v>
      </c>
      <c r="H8" s="2">
        <v>0.17447916666666666</v>
      </c>
      <c r="I8" s="2">
        <v>0.17487268518518517</v>
      </c>
      <c r="J8" s="2">
        <v>3.9351851851851852E-4</v>
      </c>
      <c r="L8" t="s">
        <v>26</v>
      </c>
      <c r="M8" t="s">
        <v>24</v>
      </c>
      <c r="N8" t="s">
        <v>27</v>
      </c>
      <c r="O8" t="s">
        <v>28</v>
      </c>
    </row>
    <row r="9" spans="1:15" x14ac:dyDescent="0.25">
      <c r="A9">
        <v>8</v>
      </c>
      <c r="B9" t="s">
        <v>15</v>
      </c>
      <c r="C9" s="1">
        <v>46265</v>
      </c>
      <c r="D9" t="s">
        <v>16</v>
      </c>
      <c r="E9" t="str">
        <f t="shared" si="0"/>
        <v>07-10</v>
      </c>
      <c r="F9">
        <v>1</v>
      </c>
      <c r="G9" t="s">
        <v>22</v>
      </c>
      <c r="H9" s="2">
        <v>0.17487268518518517</v>
      </c>
      <c r="I9" s="2">
        <v>0.17496527777777779</v>
      </c>
      <c r="J9" s="2">
        <v>9.2592592592592588E-5</v>
      </c>
      <c r="L9" t="s">
        <v>23</v>
      </c>
      <c r="M9" t="s">
        <v>24</v>
      </c>
      <c r="N9" t="s">
        <v>22</v>
      </c>
    </row>
    <row r="10" spans="1:15" x14ac:dyDescent="0.25">
      <c r="A10">
        <v>9</v>
      </c>
      <c r="B10" t="s">
        <v>15</v>
      </c>
      <c r="C10" s="1">
        <v>46265</v>
      </c>
      <c r="D10" t="s">
        <v>16</v>
      </c>
      <c r="E10" t="str">
        <f t="shared" si="0"/>
        <v>07-10</v>
      </c>
      <c r="F10">
        <v>5293</v>
      </c>
      <c r="G10" t="s">
        <v>35</v>
      </c>
      <c r="H10" s="2">
        <v>0.17496527777777779</v>
      </c>
      <c r="I10" s="2">
        <v>0.21107638888888888</v>
      </c>
      <c r="J10" s="2">
        <v>3.6111111111111115E-2</v>
      </c>
      <c r="K10" t="s">
        <v>36</v>
      </c>
      <c r="L10" t="s">
        <v>37</v>
      </c>
      <c r="M10" t="s">
        <v>19</v>
      </c>
      <c r="N10" t="s">
        <v>20</v>
      </c>
      <c r="O10" t="s">
        <v>38</v>
      </c>
    </row>
    <row r="11" spans="1:15" x14ac:dyDescent="0.25">
      <c r="A11">
        <v>10</v>
      </c>
      <c r="B11" t="s">
        <v>15</v>
      </c>
      <c r="C11" s="1">
        <v>46265</v>
      </c>
      <c r="D11" t="s">
        <v>16</v>
      </c>
      <c r="E11" t="str">
        <f t="shared" si="0"/>
        <v>07-10</v>
      </c>
      <c r="F11">
        <v>1</v>
      </c>
      <c r="G11" t="s">
        <v>22</v>
      </c>
      <c r="H11" s="2">
        <v>0.21107638888888888</v>
      </c>
      <c r="I11" s="2">
        <v>0.21158564814814815</v>
      </c>
      <c r="J11" s="2">
        <v>5.0925925925925921E-4</v>
      </c>
      <c r="L11" t="s">
        <v>23</v>
      </c>
      <c r="M11" t="s">
        <v>24</v>
      </c>
      <c r="N11" t="s">
        <v>22</v>
      </c>
    </row>
    <row r="12" spans="1:15" x14ac:dyDescent="0.25">
      <c r="A12">
        <v>11</v>
      </c>
      <c r="B12" t="s">
        <v>15</v>
      </c>
      <c r="C12" s="1">
        <v>46265</v>
      </c>
      <c r="D12" t="s">
        <v>16</v>
      </c>
      <c r="E12" t="str">
        <f t="shared" si="0"/>
        <v>07-10</v>
      </c>
      <c r="F12">
        <v>5456</v>
      </c>
      <c r="G12" t="s">
        <v>39</v>
      </c>
      <c r="H12" s="2">
        <v>0.21158564814814815</v>
      </c>
      <c r="I12" s="2">
        <v>0.21177083333333332</v>
      </c>
      <c r="J12" s="2">
        <v>1.8518518518518518E-4</v>
      </c>
      <c r="L12" t="s">
        <v>26</v>
      </c>
      <c r="M12" t="s">
        <v>24</v>
      </c>
      <c r="N12" t="s">
        <v>27</v>
      </c>
      <c r="O12" t="s">
        <v>28</v>
      </c>
    </row>
    <row r="13" spans="1:15" x14ac:dyDescent="0.25">
      <c r="A13">
        <v>12</v>
      </c>
      <c r="B13" t="s">
        <v>15</v>
      </c>
      <c r="C13" s="1">
        <v>46265</v>
      </c>
      <c r="D13" t="s">
        <v>16</v>
      </c>
      <c r="E13" t="str">
        <f t="shared" si="0"/>
        <v>07-10</v>
      </c>
      <c r="F13">
        <v>1</v>
      </c>
      <c r="G13" t="s">
        <v>22</v>
      </c>
      <c r="H13" s="2">
        <v>0.21177083333333332</v>
      </c>
      <c r="I13" s="2">
        <v>0.21186342592592591</v>
      </c>
      <c r="J13" s="2">
        <v>9.2592592592592588E-5</v>
      </c>
      <c r="L13" t="s">
        <v>23</v>
      </c>
      <c r="M13" t="s">
        <v>24</v>
      </c>
      <c r="N13" t="s">
        <v>22</v>
      </c>
    </row>
    <row r="14" spans="1:15" x14ac:dyDescent="0.25">
      <c r="A14">
        <v>13</v>
      </c>
      <c r="B14" t="s">
        <v>15</v>
      </c>
      <c r="C14" s="1">
        <v>46265</v>
      </c>
      <c r="D14" t="s">
        <v>16</v>
      </c>
      <c r="E14" t="str">
        <f t="shared" si="0"/>
        <v>07-10</v>
      </c>
      <c r="F14">
        <v>5084</v>
      </c>
      <c r="G14" t="s">
        <v>40</v>
      </c>
      <c r="H14" s="2">
        <v>0.21186342592592591</v>
      </c>
      <c r="I14" s="2">
        <v>0.24987268518518521</v>
      </c>
      <c r="J14" s="2">
        <v>3.8009259259259263E-2</v>
      </c>
      <c r="K14" t="str">
        <f>"ALAOUITES (2EME PARTIE)(REDIFFUSION)"</f>
        <v>ALAOUITES (2EME PARTIE)(REDIFFUSION)</v>
      </c>
      <c r="L14" t="s">
        <v>41</v>
      </c>
      <c r="M14" t="s">
        <v>19</v>
      </c>
      <c r="N14" t="s">
        <v>42</v>
      </c>
      <c r="O14" t="s">
        <v>38</v>
      </c>
    </row>
    <row r="15" spans="1:15" x14ac:dyDescent="0.25">
      <c r="A15">
        <v>14</v>
      </c>
      <c r="B15" t="s">
        <v>15</v>
      </c>
      <c r="C15" s="1">
        <v>46265</v>
      </c>
      <c r="D15" t="s">
        <v>16</v>
      </c>
      <c r="E15" t="str">
        <f t="shared" si="0"/>
        <v>07-10</v>
      </c>
      <c r="F15">
        <v>5084</v>
      </c>
      <c r="G15" t="s">
        <v>43</v>
      </c>
      <c r="H15" s="2">
        <v>0.21186342592592591</v>
      </c>
      <c r="I15" s="2">
        <v>0.22712962962962965</v>
      </c>
      <c r="J15" s="2">
        <v>1.5266203703703705E-2</v>
      </c>
      <c r="K15" t="str">
        <f>"ALAOUITES (2EME PARTIE)(REDIFFUSION)"</f>
        <v>ALAOUITES (2EME PARTIE)(REDIFFUSION)</v>
      </c>
      <c r="L15" t="s">
        <v>41</v>
      </c>
      <c r="M15" t="s">
        <v>19</v>
      </c>
      <c r="N15" t="s">
        <v>42</v>
      </c>
      <c r="O15" t="s">
        <v>38</v>
      </c>
    </row>
    <row r="16" spans="1:15" x14ac:dyDescent="0.25">
      <c r="A16">
        <v>15</v>
      </c>
      <c r="B16" t="s">
        <v>15</v>
      </c>
      <c r="C16" s="1">
        <v>46265</v>
      </c>
      <c r="D16" t="s">
        <v>16</v>
      </c>
      <c r="E16" t="str">
        <f t="shared" si="0"/>
        <v>07-10</v>
      </c>
      <c r="F16">
        <v>1</v>
      </c>
      <c r="G16" t="s">
        <v>44</v>
      </c>
      <c r="H16" s="2">
        <v>0.22712962962962965</v>
      </c>
      <c r="I16" s="2">
        <v>0.22723379629629628</v>
      </c>
      <c r="J16" s="2">
        <v>1.0416666666666667E-4</v>
      </c>
      <c r="L16" t="s">
        <v>23</v>
      </c>
      <c r="M16" t="s">
        <v>24</v>
      </c>
      <c r="N16" t="s">
        <v>22</v>
      </c>
    </row>
    <row r="17" spans="1:15" x14ac:dyDescent="0.25">
      <c r="A17">
        <v>16</v>
      </c>
      <c r="B17" t="s">
        <v>15</v>
      </c>
      <c r="C17" s="1">
        <v>46265</v>
      </c>
      <c r="D17" t="s">
        <v>16</v>
      </c>
      <c r="E17" t="str">
        <f t="shared" si="0"/>
        <v>07-10</v>
      </c>
      <c r="F17">
        <v>61</v>
      </c>
      <c r="G17" t="s">
        <v>45</v>
      </c>
      <c r="H17" s="2">
        <v>0.22723379629629628</v>
      </c>
      <c r="I17" s="2">
        <v>0.22881944444444444</v>
      </c>
      <c r="J17" s="2">
        <v>1.5856481481481479E-3</v>
      </c>
      <c r="L17" t="s">
        <v>46</v>
      </c>
      <c r="M17" t="s">
        <v>47</v>
      </c>
      <c r="N17" t="s">
        <v>48</v>
      </c>
    </row>
    <row r="18" spans="1:15" x14ac:dyDescent="0.25">
      <c r="A18">
        <v>17</v>
      </c>
      <c r="B18" t="s">
        <v>15</v>
      </c>
      <c r="C18" s="1">
        <v>46265</v>
      </c>
      <c r="D18" t="s">
        <v>16</v>
      </c>
      <c r="E18" t="str">
        <f t="shared" si="0"/>
        <v>07-10</v>
      </c>
      <c r="F18">
        <v>1</v>
      </c>
      <c r="G18" t="s">
        <v>44</v>
      </c>
      <c r="H18" s="2">
        <v>0.22881944444444444</v>
      </c>
      <c r="I18" s="2">
        <v>0.22892361111111112</v>
      </c>
      <c r="J18" s="2">
        <v>1.0416666666666667E-4</v>
      </c>
      <c r="L18" t="s">
        <v>23</v>
      </c>
      <c r="M18" t="s">
        <v>24</v>
      </c>
      <c r="N18" t="s">
        <v>22</v>
      </c>
    </row>
    <row r="19" spans="1:15" x14ac:dyDescent="0.25">
      <c r="A19">
        <v>18</v>
      </c>
      <c r="B19" t="s">
        <v>15</v>
      </c>
      <c r="C19" s="1">
        <v>46265</v>
      </c>
      <c r="D19" t="s">
        <v>16</v>
      </c>
      <c r="E19" t="str">
        <f t="shared" si="0"/>
        <v>07-10</v>
      </c>
      <c r="F19">
        <v>5084</v>
      </c>
      <c r="G19" t="s">
        <v>49</v>
      </c>
      <c r="H19" s="2">
        <v>0.22892361111111112</v>
      </c>
      <c r="I19" s="2">
        <v>0.24987268518518521</v>
      </c>
      <c r="J19" s="2">
        <v>2.0949074074074075E-2</v>
      </c>
      <c r="K19" t="str">
        <f>"ALAOUITES (2EME PARTIE)(REDIFFUSION)"</f>
        <v>ALAOUITES (2EME PARTIE)(REDIFFUSION)</v>
      </c>
      <c r="L19" t="s">
        <v>41</v>
      </c>
      <c r="M19" t="s">
        <v>19</v>
      </c>
      <c r="N19" t="s">
        <v>42</v>
      </c>
      <c r="O19" t="s">
        <v>38</v>
      </c>
    </row>
    <row r="20" spans="1:15" x14ac:dyDescent="0.25">
      <c r="A20">
        <v>19</v>
      </c>
      <c r="B20" t="s">
        <v>15</v>
      </c>
      <c r="C20" s="1">
        <v>46265</v>
      </c>
      <c r="D20" t="s">
        <v>16</v>
      </c>
      <c r="E20" t="str">
        <f t="shared" si="0"/>
        <v>07-10</v>
      </c>
      <c r="F20">
        <v>1</v>
      </c>
      <c r="G20" t="s">
        <v>22</v>
      </c>
      <c r="H20" s="2">
        <v>0.24987268518518521</v>
      </c>
      <c r="I20" s="2">
        <v>0.25034722222222222</v>
      </c>
      <c r="J20" s="2">
        <v>4.7453703703703704E-4</v>
      </c>
      <c r="L20" t="s">
        <v>23</v>
      </c>
      <c r="M20" t="s">
        <v>24</v>
      </c>
      <c r="N20" t="s">
        <v>22</v>
      </c>
    </row>
    <row r="21" spans="1:15" x14ac:dyDescent="0.25">
      <c r="A21">
        <v>20</v>
      </c>
      <c r="B21" t="s">
        <v>15</v>
      </c>
      <c r="C21" s="1">
        <v>46265</v>
      </c>
      <c r="D21" t="s">
        <v>16</v>
      </c>
      <c r="E21" t="str">
        <f t="shared" si="0"/>
        <v>07-10</v>
      </c>
      <c r="F21">
        <v>5810</v>
      </c>
      <c r="G21" t="s">
        <v>25</v>
      </c>
      <c r="H21" s="2">
        <v>0.25034722222222222</v>
      </c>
      <c r="I21" s="2">
        <v>0.25081018518518522</v>
      </c>
      <c r="J21" s="2">
        <v>4.6296296296296293E-4</v>
      </c>
      <c r="L21" t="s">
        <v>26</v>
      </c>
      <c r="M21" t="s">
        <v>24</v>
      </c>
      <c r="N21" t="s">
        <v>27</v>
      </c>
      <c r="O21" t="s">
        <v>28</v>
      </c>
    </row>
    <row r="22" spans="1:15" x14ac:dyDescent="0.25">
      <c r="A22">
        <v>21</v>
      </c>
      <c r="B22" t="s">
        <v>15</v>
      </c>
      <c r="C22" s="1">
        <v>46265</v>
      </c>
      <c r="D22" t="s">
        <v>16</v>
      </c>
      <c r="E22" t="str">
        <f t="shared" si="0"/>
        <v>07-10</v>
      </c>
      <c r="F22">
        <v>1</v>
      </c>
      <c r="G22" t="s">
        <v>22</v>
      </c>
      <c r="H22" s="2">
        <v>0.25081018518518522</v>
      </c>
      <c r="I22" s="2">
        <v>0.25091435185185185</v>
      </c>
      <c r="J22" s="2">
        <v>1.0416666666666667E-4</v>
      </c>
      <c r="L22" t="s">
        <v>23</v>
      </c>
      <c r="M22" t="s">
        <v>24</v>
      </c>
      <c r="N22" t="s">
        <v>22</v>
      </c>
    </row>
    <row r="23" spans="1:15" x14ac:dyDescent="0.25">
      <c r="A23">
        <v>22</v>
      </c>
      <c r="B23" t="s">
        <v>15</v>
      </c>
      <c r="C23" s="1">
        <v>46265</v>
      </c>
      <c r="D23" t="s">
        <v>16</v>
      </c>
      <c r="E23" t="str">
        <f t="shared" si="0"/>
        <v>07-10</v>
      </c>
      <c r="F23">
        <v>839</v>
      </c>
      <c r="G23" t="s">
        <v>50</v>
      </c>
      <c r="H23" s="2">
        <v>0.25091435185185185</v>
      </c>
      <c r="I23" s="2">
        <v>0.28651620370370373</v>
      </c>
      <c r="J23" s="2">
        <v>3.560185185185185E-2</v>
      </c>
      <c r="K23" t="s">
        <v>51</v>
      </c>
      <c r="L23" t="s">
        <v>52</v>
      </c>
      <c r="M23" t="s">
        <v>19</v>
      </c>
      <c r="N23" t="s">
        <v>42</v>
      </c>
      <c r="O23" t="s">
        <v>53</v>
      </c>
    </row>
    <row r="24" spans="1:15" x14ac:dyDescent="0.25">
      <c r="A24">
        <v>23</v>
      </c>
      <c r="B24" t="s">
        <v>15</v>
      </c>
      <c r="C24" s="1">
        <v>46265</v>
      </c>
      <c r="D24" t="s">
        <v>16</v>
      </c>
      <c r="E24" t="str">
        <f t="shared" si="0"/>
        <v>07-10</v>
      </c>
      <c r="F24">
        <v>1</v>
      </c>
      <c r="G24" t="s">
        <v>22</v>
      </c>
      <c r="H24" s="2">
        <v>0.28651620370370373</v>
      </c>
      <c r="I24" s="2">
        <v>0.28711805555555553</v>
      </c>
      <c r="J24" s="2">
        <v>6.018518518518519E-4</v>
      </c>
      <c r="L24" t="s">
        <v>23</v>
      </c>
      <c r="M24" t="s">
        <v>24</v>
      </c>
      <c r="N24" t="s">
        <v>22</v>
      </c>
    </row>
    <row r="25" spans="1:15" x14ac:dyDescent="0.25">
      <c r="A25">
        <v>24</v>
      </c>
      <c r="B25" t="s">
        <v>15</v>
      </c>
      <c r="C25" s="1">
        <v>46265</v>
      </c>
      <c r="D25" t="s">
        <v>16</v>
      </c>
      <c r="E25" t="str">
        <f t="shared" si="0"/>
        <v>07-10</v>
      </c>
      <c r="F25">
        <v>1</v>
      </c>
      <c r="G25" t="s">
        <v>54</v>
      </c>
      <c r="H25" s="2">
        <v>0.28711805555555553</v>
      </c>
      <c r="I25" s="2">
        <v>0.28783564814814816</v>
      </c>
      <c r="J25" s="2">
        <v>7.175925925925927E-4</v>
      </c>
      <c r="L25" t="s">
        <v>55</v>
      </c>
      <c r="M25" t="s">
        <v>56</v>
      </c>
    </row>
    <row r="26" spans="1:15" x14ac:dyDescent="0.25">
      <c r="A26">
        <v>25</v>
      </c>
      <c r="B26" t="s">
        <v>15</v>
      </c>
      <c r="C26" s="1">
        <v>46265</v>
      </c>
      <c r="D26" t="s">
        <v>16</v>
      </c>
      <c r="E26" t="str">
        <f t="shared" si="0"/>
        <v>07-10</v>
      </c>
      <c r="F26">
        <v>1</v>
      </c>
      <c r="G26" t="s">
        <v>22</v>
      </c>
      <c r="H26" s="2">
        <v>0.28783564814814816</v>
      </c>
      <c r="I26" s="2">
        <v>0.28792824074074075</v>
      </c>
      <c r="J26" s="2">
        <v>9.2592592592592588E-5</v>
      </c>
      <c r="L26" t="s">
        <v>23</v>
      </c>
      <c r="M26" t="s">
        <v>24</v>
      </c>
      <c r="N26" t="s">
        <v>22</v>
      </c>
    </row>
    <row r="27" spans="1:15" x14ac:dyDescent="0.25">
      <c r="A27">
        <v>26</v>
      </c>
      <c r="B27" t="s">
        <v>15</v>
      </c>
      <c r="C27" s="1">
        <v>46265</v>
      </c>
      <c r="D27" t="s">
        <v>16</v>
      </c>
      <c r="E27" t="str">
        <f t="shared" si="0"/>
        <v>07-10</v>
      </c>
      <c r="F27">
        <v>2</v>
      </c>
      <c r="G27" t="s">
        <v>57</v>
      </c>
      <c r="H27" s="2">
        <v>0.28792824074074075</v>
      </c>
      <c r="I27" s="2">
        <v>0.29163194444444446</v>
      </c>
      <c r="J27" s="2">
        <v>3.7037037037037034E-3</v>
      </c>
      <c r="L27" t="s">
        <v>58</v>
      </c>
      <c r="M27" t="s">
        <v>47</v>
      </c>
      <c r="N27" t="s">
        <v>57</v>
      </c>
    </row>
    <row r="28" spans="1:15" x14ac:dyDescent="0.25">
      <c r="A28">
        <v>27</v>
      </c>
      <c r="B28" t="s">
        <v>15</v>
      </c>
      <c r="C28" s="1">
        <v>46265</v>
      </c>
      <c r="D28" t="s">
        <v>16</v>
      </c>
      <c r="E28" t="str">
        <f t="shared" si="0"/>
        <v>07-10</v>
      </c>
      <c r="F28">
        <v>1</v>
      </c>
      <c r="G28" t="s">
        <v>22</v>
      </c>
      <c r="H28" s="2">
        <v>0.29163194444444446</v>
      </c>
      <c r="I28" s="2">
        <v>0.29173611111111114</v>
      </c>
      <c r="J28" s="2">
        <v>1.0416666666666667E-4</v>
      </c>
      <c r="L28" t="s">
        <v>23</v>
      </c>
      <c r="M28" t="s">
        <v>24</v>
      </c>
      <c r="N28" t="s">
        <v>22</v>
      </c>
    </row>
    <row r="29" spans="1:15" x14ac:dyDescent="0.25">
      <c r="A29">
        <v>28</v>
      </c>
      <c r="B29" t="s">
        <v>15</v>
      </c>
      <c r="C29" s="1">
        <v>46265</v>
      </c>
      <c r="D29" t="s">
        <v>16</v>
      </c>
      <c r="E29" t="str">
        <f t="shared" si="0"/>
        <v>07-10</v>
      </c>
      <c r="F29">
        <v>9</v>
      </c>
      <c r="G29" t="s">
        <v>59</v>
      </c>
      <c r="H29" s="2">
        <v>0.29173611111111114</v>
      </c>
      <c r="I29" s="2">
        <v>0.29387731481481483</v>
      </c>
      <c r="J29" s="2">
        <v>2.1412037037037038E-3</v>
      </c>
      <c r="K29" t="s">
        <v>60</v>
      </c>
      <c r="L29" t="s">
        <v>61</v>
      </c>
      <c r="M29" t="s">
        <v>62</v>
      </c>
      <c r="N29" t="s">
        <v>63</v>
      </c>
      <c r="O29" t="s">
        <v>64</v>
      </c>
    </row>
    <row r="30" spans="1:15" x14ac:dyDescent="0.25">
      <c r="A30">
        <v>29</v>
      </c>
      <c r="B30" t="s">
        <v>15</v>
      </c>
      <c r="C30" s="1">
        <v>46265</v>
      </c>
      <c r="D30" t="s">
        <v>16</v>
      </c>
      <c r="E30" t="str">
        <f t="shared" si="0"/>
        <v>07-10</v>
      </c>
      <c r="F30">
        <v>5454</v>
      </c>
      <c r="G30" t="s">
        <v>65</v>
      </c>
      <c r="H30" s="2">
        <v>0.29387731481481483</v>
      </c>
      <c r="I30" s="2">
        <v>0.29412037037037037</v>
      </c>
      <c r="J30" s="2">
        <v>2.4305555555555552E-4</v>
      </c>
      <c r="L30" t="s">
        <v>26</v>
      </c>
      <c r="M30" t="s">
        <v>24</v>
      </c>
      <c r="N30" t="s">
        <v>27</v>
      </c>
      <c r="O30" t="s">
        <v>28</v>
      </c>
    </row>
    <row r="31" spans="1:15" x14ac:dyDescent="0.25">
      <c r="A31">
        <v>30</v>
      </c>
      <c r="B31" t="s">
        <v>15</v>
      </c>
      <c r="C31" s="1">
        <v>46265</v>
      </c>
      <c r="D31" t="s">
        <v>16</v>
      </c>
      <c r="E31" t="str">
        <f t="shared" si="0"/>
        <v>07-10</v>
      </c>
      <c r="F31">
        <v>1</v>
      </c>
      <c r="G31" t="s">
        <v>22</v>
      </c>
      <c r="H31" s="2">
        <v>0.29412037037037037</v>
      </c>
      <c r="I31" s="2">
        <v>0.29538194444444443</v>
      </c>
      <c r="J31" s="2">
        <v>1.261574074074074E-3</v>
      </c>
      <c r="L31" t="s">
        <v>23</v>
      </c>
      <c r="M31" t="s">
        <v>24</v>
      </c>
      <c r="N31" t="s">
        <v>22</v>
      </c>
    </row>
    <row r="32" spans="1:15" x14ac:dyDescent="0.25">
      <c r="A32">
        <v>31</v>
      </c>
      <c r="B32" t="s">
        <v>15</v>
      </c>
      <c r="C32" s="1">
        <v>46265</v>
      </c>
      <c r="D32" t="s">
        <v>16</v>
      </c>
      <c r="E32" t="str">
        <f t="shared" si="0"/>
        <v>07-10</v>
      </c>
      <c r="F32">
        <v>886</v>
      </c>
      <c r="G32" t="s">
        <v>66</v>
      </c>
      <c r="H32" s="2">
        <v>0.29538194444444443</v>
      </c>
      <c r="I32" s="2">
        <v>0.29605324074074074</v>
      </c>
      <c r="J32" s="2">
        <v>6.7129629629629625E-4</v>
      </c>
      <c r="L32" t="s">
        <v>26</v>
      </c>
      <c r="M32" t="s">
        <v>24</v>
      </c>
      <c r="N32" t="s">
        <v>27</v>
      </c>
      <c r="O32" t="s">
        <v>28</v>
      </c>
    </row>
    <row r="33" spans="1:15" x14ac:dyDescent="0.25">
      <c r="A33">
        <v>32</v>
      </c>
      <c r="B33" t="s">
        <v>15</v>
      </c>
      <c r="C33" s="1">
        <v>46265</v>
      </c>
      <c r="D33" t="s">
        <v>16</v>
      </c>
      <c r="E33" t="str">
        <f t="shared" si="0"/>
        <v>07-10</v>
      </c>
      <c r="F33">
        <v>1</v>
      </c>
      <c r="G33" t="s">
        <v>22</v>
      </c>
      <c r="H33" s="2">
        <v>0.29605324074074074</v>
      </c>
      <c r="I33" s="2">
        <v>0.29613425925925924</v>
      </c>
      <c r="J33" s="2">
        <v>8.1018518518518516E-5</v>
      </c>
      <c r="L33" t="s">
        <v>23</v>
      </c>
      <c r="M33" t="s">
        <v>24</v>
      </c>
      <c r="N33" t="s">
        <v>22</v>
      </c>
    </row>
    <row r="34" spans="1:15" x14ac:dyDescent="0.25">
      <c r="A34">
        <v>33</v>
      </c>
      <c r="B34" t="s">
        <v>15</v>
      </c>
      <c r="C34" s="1">
        <v>46265</v>
      </c>
      <c r="D34" t="s">
        <v>16</v>
      </c>
      <c r="E34" t="str">
        <f t="shared" si="0"/>
        <v>07-10</v>
      </c>
      <c r="F34">
        <v>5293</v>
      </c>
      <c r="G34" t="s">
        <v>35</v>
      </c>
      <c r="H34" s="2">
        <v>0.29613425925925924</v>
      </c>
      <c r="I34" s="2">
        <v>0.33285879629629628</v>
      </c>
      <c r="J34" s="2">
        <v>3.6724537037037035E-2</v>
      </c>
      <c r="L34" t="s">
        <v>37</v>
      </c>
      <c r="M34" t="s">
        <v>19</v>
      </c>
      <c r="N34" t="s">
        <v>20</v>
      </c>
      <c r="O34" t="s">
        <v>38</v>
      </c>
    </row>
    <row r="35" spans="1:15" x14ac:dyDescent="0.25">
      <c r="A35">
        <v>34</v>
      </c>
      <c r="B35" t="s">
        <v>15</v>
      </c>
      <c r="C35" s="1">
        <v>46265</v>
      </c>
      <c r="D35" t="s">
        <v>16</v>
      </c>
      <c r="E35" t="str">
        <f>"08-10"</f>
        <v>08-10</v>
      </c>
      <c r="F35">
        <v>1</v>
      </c>
      <c r="G35" t="s">
        <v>22</v>
      </c>
      <c r="H35" s="2">
        <v>0.33285879629629628</v>
      </c>
      <c r="I35" s="2">
        <v>0.33415509259259263</v>
      </c>
      <c r="J35" s="2">
        <v>1.2962962962962963E-3</v>
      </c>
      <c r="L35" t="s">
        <v>23</v>
      </c>
      <c r="M35" t="s">
        <v>24</v>
      </c>
      <c r="N35" t="s">
        <v>22</v>
      </c>
    </row>
    <row r="36" spans="1:15" x14ac:dyDescent="0.25">
      <c r="A36">
        <v>35</v>
      </c>
      <c r="B36" t="s">
        <v>15</v>
      </c>
      <c r="C36" s="1">
        <v>46265</v>
      </c>
      <c r="D36" t="s">
        <v>16</v>
      </c>
      <c r="E36" t="str">
        <f>"08-10"</f>
        <v>08-10</v>
      </c>
      <c r="F36">
        <v>5810</v>
      </c>
      <c r="G36" t="s">
        <v>25</v>
      </c>
      <c r="H36" s="2">
        <v>0.33415509259259263</v>
      </c>
      <c r="I36" s="2">
        <v>0.33461805555555557</v>
      </c>
      <c r="J36" s="2">
        <v>4.6296296296296293E-4</v>
      </c>
      <c r="L36" t="s">
        <v>26</v>
      </c>
      <c r="M36" t="s">
        <v>24</v>
      </c>
      <c r="N36" t="s">
        <v>27</v>
      </c>
      <c r="O36" t="s">
        <v>28</v>
      </c>
    </row>
    <row r="37" spans="1:15" x14ac:dyDescent="0.25">
      <c r="A37">
        <v>36</v>
      </c>
      <c r="B37" t="s">
        <v>15</v>
      </c>
      <c r="C37" s="1">
        <v>46265</v>
      </c>
      <c r="D37" t="s">
        <v>16</v>
      </c>
      <c r="E37" t="str">
        <f>"08-10"</f>
        <v>08-10</v>
      </c>
      <c r="F37">
        <v>5700</v>
      </c>
      <c r="G37" t="s">
        <v>67</v>
      </c>
      <c r="H37" s="2">
        <v>0.33461805555555557</v>
      </c>
      <c r="I37" s="2">
        <v>0.33605324074074078</v>
      </c>
      <c r="J37" s="2">
        <v>1.4351851851851854E-3</v>
      </c>
      <c r="L37" t="s">
        <v>26</v>
      </c>
      <c r="M37" t="s">
        <v>24</v>
      </c>
      <c r="N37" t="s">
        <v>27</v>
      </c>
      <c r="O37" t="s">
        <v>28</v>
      </c>
    </row>
    <row r="38" spans="1:15" x14ac:dyDescent="0.25">
      <c r="A38">
        <v>37</v>
      </c>
      <c r="B38" t="s">
        <v>15</v>
      </c>
      <c r="C38" s="1">
        <v>46265</v>
      </c>
      <c r="D38" t="s">
        <v>16</v>
      </c>
      <c r="E38" t="str">
        <f>"08-10"</f>
        <v>08-10</v>
      </c>
      <c r="F38">
        <v>1</v>
      </c>
      <c r="G38" t="s">
        <v>22</v>
      </c>
      <c r="H38" s="2">
        <v>0.33605324074074078</v>
      </c>
      <c r="I38" s="2">
        <v>0.33613425925925927</v>
      </c>
      <c r="J38" s="2">
        <v>8.1018518518518516E-5</v>
      </c>
      <c r="L38" t="s">
        <v>23</v>
      </c>
      <c r="M38" t="s">
        <v>24</v>
      </c>
      <c r="N38" t="s">
        <v>22</v>
      </c>
    </row>
    <row r="39" spans="1:15" x14ac:dyDescent="0.25">
      <c r="A39">
        <v>38</v>
      </c>
      <c r="B39" t="s">
        <v>15</v>
      </c>
      <c r="C39" s="1">
        <v>46265</v>
      </c>
      <c r="D39" t="s">
        <v>16</v>
      </c>
      <c r="E39" t="str">
        <f>"08-10"</f>
        <v>08-10</v>
      </c>
      <c r="F39">
        <v>4865</v>
      </c>
      <c r="G39" t="s">
        <v>68</v>
      </c>
      <c r="H39" s="2">
        <v>0.33613425925925927</v>
      </c>
      <c r="I39" s="2">
        <v>0.34206018518518522</v>
      </c>
      <c r="J39" s="2">
        <v>5.9259259259259256E-3</v>
      </c>
      <c r="K39" t="s">
        <v>69</v>
      </c>
      <c r="L39" t="s">
        <v>52</v>
      </c>
      <c r="M39" t="s">
        <v>19</v>
      </c>
      <c r="N39" t="s">
        <v>42</v>
      </c>
      <c r="O39" t="s">
        <v>53</v>
      </c>
    </row>
    <row r="40" spans="1:15" x14ac:dyDescent="0.25">
      <c r="A40">
        <v>39</v>
      </c>
      <c r="B40" t="s">
        <v>15</v>
      </c>
      <c r="C40" s="1">
        <v>46265</v>
      </c>
      <c r="D40" t="s">
        <v>16</v>
      </c>
      <c r="E40" t="str">
        <f t="shared" ref="E40:E47" si="1">"09-30"</f>
        <v>09-30</v>
      </c>
      <c r="F40">
        <v>1</v>
      </c>
      <c r="G40" t="s">
        <v>22</v>
      </c>
      <c r="H40" s="2">
        <v>0.34206018518518522</v>
      </c>
      <c r="I40" s="2">
        <v>0.34315972222222224</v>
      </c>
      <c r="J40" s="2">
        <v>1.0995370370370371E-3</v>
      </c>
      <c r="L40" t="s">
        <v>23</v>
      </c>
      <c r="M40" t="s">
        <v>24</v>
      </c>
      <c r="N40" t="s">
        <v>22</v>
      </c>
    </row>
    <row r="41" spans="1:15" x14ac:dyDescent="0.25">
      <c r="A41">
        <v>40</v>
      </c>
      <c r="B41" t="s">
        <v>15</v>
      </c>
      <c r="C41" s="1">
        <v>46265</v>
      </c>
      <c r="D41" t="s">
        <v>16</v>
      </c>
      <c r="E41" t="str">
        <f t="shared" si="1"/>
        <v>09-30</v>
      </c>
      <c r="F41">
        <v>5454</v>
      </c>
      <c r="G41" t="s">
        <v>65</v>
      </c>
      <c r="H41" s="2">
        <v>0.34315972222222224</v>
      </c>
      <c r="I41" s="2">
        <v>0.34341435185185182</v>
      </c>
      <c r="J41" s="2">
        <v>2.5462962962962961E-4</v>
      </c>
      <c r="L41" t="s">
        <v>26</v>
      </c>
      <c r="M41" t="s">
        <v>24</v>
      </c>
      <c r="N41" t="s">
        <v>27</v>
      </c>
      <c r="O41" t="s">
        <v>28</v>
      </c>
    </row>
    <row r="42" spans="1:15" x14ac:dyDescent="0.25">
      <c r="A42">
        <v>41</v>
      </c>
      <c r="B42" t="s">
        <v>15</v>
      </c>
      <c r="C42" s="1">
        <v>46265</v>
      </c>
      <c r="D42" t="s">
        <v>16</v>
      </c>
      <c r="E42" t="str">
        <f t="shared" si="1"/>
        <v>09-30</v>
      </c>
      <c r="F42">
        <v>1</v>
      </c>
      <c r="G42" t="s">
        <v>22</v>
      </c>
      <c r="H42" s="2">
        <v>0.34341435185185182</v>
      </c>
      <c r="I42" s="2">
        <v>0.34430555555555559</v>
      </c>
      <c r="J42" s="2">
        <v>8.9120370370370362E-4</v>
      </c>
      <c r="L42" t="s">
        <v>23</v>
      </c>
      <c r="M42" t="s">
        <v>24</v>
      </c>
      <c r="N42" t="s">
        <v>22</v>
      </c>
    </row>
    <row r="43" spans="1:15" x14ac:dyDescent="0.25">
      <c r="A43">
        <v>42</v>
      </c>
      <c r="B43" t="s">
        <v>15</v>
      </c>
      <c r="C43" s="1">
        <v>46265</v>
      </c>
      <c r="D43" t="s">
        <v>16</v>
      </c>
      <c r="E43" t="str">
        <f t="shared" si="1"/>
        <v>09-30</v>
      </c>
      <c r="F43">
        <v>839</v>
      </c>
      <c r="G43" t="s">
        <v>50</v>
      </c>
      <c r="H43" s="2">
        <v>0.34430555555555559</v>
      </c>
      <c r="I43" s="2">
        <v>0.36427083333333332</v>
      </c>
      <c r="J43" s="2">
        <v>1.996527777777778E-2</v>
      </c>
      <c r="K43" t="s">
        <v>70</v>
      </c>
      <c r="L43" t="s">
        <v>52</v>
      </c>
      <c r="M43" t="s">
        <v>19</v>
      </c>
      <c r="N43" t="s">
        <v>42</v>
      </c>
      <c r="O43" t="s">
        <v>53</v>
      </c>
    </row>
    <row r="44" spans="1:15" x14ac:dyDescent="0.25">
      <c r="A44">
        <v>43</v>
      </c>
      <c r="B44" t="s">
        <v>15</v>
      </c>
      <c r="C44" s="1">
        <v>46265</v>
      </c>
      <c r="D44" t="s">
        <v>16</v>
      </c>
      <c r="E44" t="str">
        <f t="shared" si="1"/>
        <v>09-30</v>
      </c>
      <c r="F44">
        <v>1</v>
      </c>
      <c r="G44" t="s">
        <v>22</v>
      </c>
      <c r="H44" s="2">
        <v>0.36427083333333332</v>
      </c>
      <c r="I44" s="2">
        <v>0.36532407407407402</v>
      </c>
      <c r="J44" s="2">
        <v>1.0532407407407407E-3</v>
      </c>
      <c r="L44" t="s">
        <v>23</v>
      </c>
      <c r="M44" t="s">
        <v>24</v>
      </c>
      <c r="N44" t="s">
        <v>22</v>
      </c>
    </row>
    <row r="45" spans="1:15" x14ac:dyDescent="0.25">
      <c r="A45">
        <v>44</v>
      </c>
      <c r="B45" t="s">
        <v>15</v>
      </c>
      <c r="C45" s="1">
        <v>46265</v>
      </c>
      <c r="D45" t="s">
        <v>16</v>
      </c>
      <c r="E45" t="str">
        <f t="shared" si="1"/>
        <v>09-30</v>
      </c>
      <c r="F45">
        <v>5810</v>
      </c>
      <c r="G45" t="s">
        <v>25</v>
      </c>
      <c r="H45" s="2">
        <v>0.36532407407407402</v>
      </c>
      <c r="I45" s="2">
        <v>0.36577546296296298</v>
      </c>
      <c r="J45" s="2">
        <v>4.5138888888888892E-4</v>
      </c>
      <c r="L45" t="s">
        <v>26</v>
      </c>
      <c r="M45" t="s">
        <v>24</v>
      </c>
      <c r="N45" t="s">
        <v>27</v>
      </c>
      <c r="O45" t="s">
        <v>28</v>
      </c>
    </row>
    <row r="46" spans="1:15" x14ac:dyDescent="0.25">
      <c r="A46">
        <v>45</v>
      </c>
      <c r="B46" t="s">
        <v>15</v>
      </c>
      <c r="C46" s="1">
        <v>46265</v>
      </c>
      <c r="D46" t="s">
        <v>16</v>
      </c>
      <c r="E46" t="str">
        <f t="shared" si="1"/>
        <v>09-30</v>
      </c>
      <c r="F46">
        <v>1</v>
      </c>
      <c r="G46" t="s">
        <v>22</v>
      </c>
      <c r="H46" s="2">
        <v>0.36577546296296298</v>
      </c>
      <c r="I46" s="2">
        <v>0.36587962962962961</v>
      </c>
      <c r="J46" s="2">
        <v>1.0416666666666667E-4</v>
      </c>
      <c r="L46" t="s">
        <v>23</v>
      </c>
      <c r="M46" t="s">
        <v>24</v>
      </c>
      <c r="N46" t="s">
        <v>22</v>
      </c>
    </row>
    <row r="47" spans="1:15" x14ac:dyDescent="0.25">
      <c r="A47">
        <v>46</v>
      </c>
      <c r="B47" t="s">
        <v>15</v>
      </c>
      <c r="C47" s="1">
        <v>46265</v>
      </c>
      <c r="D47" t="s">
        <v>16</v>
      </c>
      <c r="E47" t="str">
        <f t="shared" si="1"/>
        <v>09-30</v>
      </c>
      <c r="F47">
        <v>5023</v>
      </c>
      <c r="G47" t="s">
        <v>71</v>
      </c>
      <c r="H47" s="2">
        <v>0.36587962962962961</v>
      </c>
      <c r="I47" s="2">
        <v>0.40355324074074073</v>
      </c>
      <c r="J47" s="2">
        <v>3.7673611111111109E-2</v>
      </c>
      <c r="K47" t="s">
        <v>72</v>
      </c>
      <c r="L47" t="s">
        <v>73</v>
      </c>
      <c r="M47" t="s">
        <v>19</v>
      </c>
      <c r="N47" t="s">
        <v>42</v>
      </c>
      <c r="O47" t="s">
        <v>74</v>
      </c>
    </row>
    <row r="48" spans="1:15" x14ac:dyDescent="0.25">
      <c r="A48">
        <v>47</v>
      </c>
      <c r="B48" t="s">
        <v>15</v>
      </c>
      <c r="C48" s="1">
        <v>46265</v>
      </c>
      <c r="D48" t="s">
        <v>16</v>
      </c>
      <c r="E48" t="str">
        <f>"10-00"</f>
        <v>10-00</v>
      </c>
      <c r="F48">
        <v>1</v>
      </c>
      <c r="G48" t="s">
        <v>22</v>
      </c>
      <c r="H48" s="2">
        <v>0.40355324074074073</v>
      </c>
      <c r="I48" s="2">
        <v>0.40465277777777775</v>
      </c>
      <c r="J48" s="2">
        <v>1.0995370370370371E-3</v>
      </c>
      <c r="L48" t="s">
        <v>23</v>
      </c>
      <c r="M48" t="s">
        <v>24</v>
      </c>
      <c r="N48" t="s">
        <v>22</v>
      </c>
    </row>
    <row r="49" spans="1:15" x14ac:dyDescent="0.25">
      <c r="A49">
        <v>48</v>
      </c>
      <c r="B49" t="s">
        <v>15</v>
      </c>
      <c r="C49" s="1">
        <v>46265</v>
      </c>
      <c r="D49" t="s">
        <v>16</v>
      </c>
      <c r="E49" t="str">
        <f>"10-00"</f>
        <v>10-00</v>
      </c>
      <c r="F49">
        <v>5810</v>
      </c>
      <c r="G49" t="s">
        <v>25</v>
      </c>
      <c r="H49" s="2">
        <v>0.40465277777777775</v>
      </c>
      <c r="I49" s="2">
        <v>0.40510416666666665</v>
      </c>
      <c r="J49" s="2">
        <v>4.5138888888888892E-4</v>
      </c>
      <c r="L49" t="s">
        <v>26</v>
      </c>
      <c r="M49" t="s">
        <v>24</v>
      </c>
      <c r="N49" t="s">
        <v>27</v>
      </c>
      <c r="O49" t="s">
        <v>28</v>
      </c>
    </row>
    <row r="50" spans="1:15" x14ac:dyDescent="0.25">
      <c r="A50">
        <v>49</v>
      </c>
      <c r="B50" t="s">
        <v>15</v>
      </c>
      <c r="C50" s="1">
        <v>46265</v>
      </c>
      <c r="D50" t="s">
        <v>16</v>
      </c>
      <c r="E50" t="str">
        <f>"10-00"</f>
        <v>10-00</v>
      </c>
      <c r="F50">
        <v>1</v>
      </c>
      <c r="G50" t="s">
        <v>22</v>
      </c>
      <c r="H50" s="2">
        <v>0.40510416666666665</v>
      </c>
      <c r="I50" s="2">
        <v>0.4051967592592593</v>
      </c>
      <c r="J50" s="2">
        <v>9.2592592592592588E-5</v>
      </c>
      <c r="L50" t="s">
        <v>23</v>
      </c>
      <c r="M50" t="s">
        <v>24</v>
      </c>
      <c r="N50" t="s">
        <v>22</v>
      </c>
    </row>
    <row r="51" spans="1:15" x14ac:dyDescent="0.25">
      <c r="A51">
        <v>50</v>
      </c>
      <c r="B51" t="s">
        <v>15</v>
      </c>
      <c r="C51" s="1">
        <v>46265</v>
      </c>
      <c r="D51" t="s">
        <v>16</v>
      </c>
      <c r="E51" t="str">
        <f>"10-00"</f>
        <v>10-00</v>
      </c>
      <c r="F51">
        <v>5083</v>
      </c>
      <c r="G51" t="s">
        <v>29</v>
      </c>
      <c r="H51" s="2">
        <v>0.4051967592592593</v>
      </c>
      <c r="I51" s="2">
        <v>0.44189814814814815</v>
      </c>
      <c r="J51" s="2">
        <v>3.6701388888888888E-2</v>
      </c>
      <c r="K51" t="str">
        <f>"EPISODE 4"</f>
        <v>EPISODE 4</v>
      </c>
      <c r="L51" t="s">
        <v>30</v>
      </c>
      <c r="M51" t="s">
        <v>31</v>
      </c>
      <c r="N51" t="s">
        <v>32</v>
      </c>
      <c r="O51" t="s">
        <v>33</v>
      </c>
    </row>
    <row r="52" spans="1:15" x14ac:dyDescent="0.25">
      <c r="A52">
        <v>51</v>
      </c>
      <c r="B52" t="s">
        <v>15</v>
      </c>
      <c r="C52" s="1">
        <v>46265</v>
      </c>
      <c r="D52" t="s">
        <v>16</v>
      </c>
      <c r="E52" t="str">
        <f>"11-45"</f>
        <v>11-45</v>
      </c>
      <c r="F52">
        <v>1</v>
      </c>
      <c r="G52" t="s">
        <v>22</v>
      </c>
      <c r="H52" s="2">
        <v>0.44189814814814815</v>
      </c>
      <c r="I52" s="2">
        <v>0.4433449074074074</v>
      </c>
      <c r="J52" s="2">
        <v>1.4467592592592594E-3</v>
      </c>
      <c r="L52" t="s">
        <v>23</v>
      </c>
      <c r="M52" t="s">
        <v>24</v>
      </c>
      <c r="N52" t="s">
        <v>22</v>
      </c>
    </row>
    <row r="53" spans="1:15" x14ac:dyDescent="0.25">
      <c r="A53">
        <v>52</v>
      </c>
      <c r="B53" t="s">
        <v>15</v>
      </c>
      <c r="C53" s="1">
        <v>46265</v>
      </c>
      <c r="D53" t="s">
        <v>16</v>
      </c>
      <c r="E53" t="str">
        <f>"11-45"</f>
        <v>11-45</v>
      </c>
      <c r="F53">
        <v>5448</v>
      </c>
      <c r="G53" t="s">
        <v>34</v>
      </c>
      <c r="H53" s="2">
        <v>0.4433449074074074</v>
      </c>
      <c r="I53" s="2">
        <v>0.44373842592592588</v>
      </c>
      <c r="J53" s="2">
        <v>3.9351851851851852E-4</v>
      </c>
      <c r="L53" t="s">
        <v>26</v>
      </c>
      <c r="M53" t="s">
        <v>24</v>
      </c>
      <c r="N53" t="s">
        <v>27</v>
      </c>
      <c r="O53" t="s">
        <v>28</v>
      </c>
    </row>
    <row r="54" spans="1:15" x14ac:dyDescent="0.25">
      <c r="A54">
        <v>53</v>
      </c>
      <c r="B54" t="s">
        <v>15</v>
      </c>
      <c r="C54" s="1">
        <v>46265</v>
      </c>
      <c r="D54" t="s">
        <v>16</v>
      </c>
      <c r="E54" t="str">
        <f>"11-45"</f>
        <v>11-45</v>
      </c>
      <c r="F54">
        <v>1</v>
      </c>
      <c r="G54" t="s">
        <v>22</v>
      </c>
      <c r="H54" s="2">
        <v>0.44373842592592588</v>
      </c>
      <c r="I54" s="2">
        <v>0.44383101851851853</v>
      </c>
      <c r="J54" s="2">
        <v>9.2592592592592588E-5</v>
      </c>
      <c r="L54" t="s">
        <v>23</v>
      </c>
      <c r="M54" t="s">
        <v>24</v>
      </c>
      <c r="N54" t="s">
        <v>22</v>
      </c>
    </row>
    <row r="55" spans="1:15" x14ac:dyDescent="0.25">
      <c r="A55">
        <v>54</v>
      </c>
      <c r="B55" t="s">
        <v>15</v>
      </c>
      <c r="C55" s="1">
        <v>46265</v>
      </c>
      <c r="D55" t="s">
        <v>16</v>
      </c>
      <c r="E55" t="str">
        <f>"11-45"</f>
        <v>11-45</v>
      </c>
      <c r="F55">
        <v>5888</v>
      </c>
      <c r="G55" t="s">
        <v>75</v>
      </c>
      <c r="H55" s="2">
        <v>0.44383101851851853</v>
      </c>
      <c r="I55" s="2">
        <v>0.48406250000000001</v>
      </c>
      <c r="J55" s="2">
        <v>4.0231481481481479E-2</v>
      </c>
      <c r="L55" t="s">
        <v>76</v>
      </c>
      <c r="M55" t="s">
        <v>19</v>
      </c>
      <c r="N55" t="s">
        <v>20</v>
      </c>
      <c r="O55" t="s">
        <v>77</v>
      </c>
    </row>
    <row r="56" spans="1:15" x14ac:dyDescent="0.25">
      <c r="A56">
        <v>55</v>
      </c>
      <c r="B56" t="s">
        <v>15</v>
      </c>
      <c r="C56" s="1">
        <v>46265</v>
      </c>
      <c r="D56" t="s">
        <v>16</v>
      </c>
      <c r="E56" t="str">
        <f t="shared" ref="E56:E67" si="2">"12-00"</f>
        <v>12-00</v>
      </c>
      <c r="F56">
        <v>1</v>
      </c>
      <c r="G56" t="s">
        <v>22</v>
      </c>
      <c r="H56" s="2">
        <v>0.48406250000000001</v>
      </c>
      <c r="I56" s="2">
        <v>0.48464120370370373</v>
      </c>
      <c r="J56" s="2">
        <v>5.7870370370370378E-4</v>
      </c>
      <c r="L56" t="s">
        <v>23</v>
      </c>
      <c r="M56" t="s">
        <v>24</v>
      </c>
      <c r="N56" t="s">
        <v>22</v>
      </c>
    </row>
    <row r="57" spans="1:15" x14ac:dyDescent="0.25">
      <c r="A57">
        <v>56</v>
      </c>
      <c r="B57" t="s">
        <v>15</v>
      </c>
      <c r="C57" s="1">
        <v>46265</v>
      </c>
      <c r="D57" t="s">
        <v>16</v>
      </c>
      <c r="E57" t="str">
        <f t="shared" si="2"/>
        <v>12-00</v>
      </c>
      <c r="F57">
        <v>5875</v>
      </c>
      <c r="G57" t="s">
        <v>78</v>
      </c>
      <c r="H57" s="2">
        <v>0.48464120370370373</v>
      </c>
      <c r="I57" s="2">
        <v>0.48549768518518516</v>
      </c>
      <c r="J57" s="2">
        <v>8.564814814814815E-4</v>
      </c>
      <c r="L57" t="s">
        <v>26</v>
      </c>
      <c r="M57" t="s">
        <v>24</v>
      </c>
      <c r="N57" t="s">
        <v>27</v>
      </c>
      <c r="O57" t="s">
        <v>28</v>
      </c>
    </row>
    <row r="58" spans="1:15" x14ac:dyDescent="0.25">
      <c r="A58">
        <v>57</v>
      </c>
      <c r="B58" t="s">
        <v>15</v>
      </c>
      <c r="C58" s="1">
        <v>46265</v>
      </c>
      <c r="D58" t="s">
        <v>16</v>
      </c>
      <c r="E58" t="str">
        <f t="shared" si="2"/>
        <v>12-00</v>
      </c>
      <c r="F58">
        <v>1</v>
      </c>
      <c r="G58" t="s">
        <v>22</v>
      </c>
      <c r="H58" s="2">
        <v>0.48549768518518516</v>
      </c>
      <c r="I58" s="2">
        <v>0.4855902777777778</v>
      </c>
      <c r="J58" s="2">
        <v>9.2592592592592588E-5</v>
      </c>
      <c r="L58" t="s">
        <v>23</v>
      </c>
      <c r="M58" t="s">
        <v>24</v>
      </c>
      <c r="N58" t="s">
        <v>22</v>
      </c>
    </row>
    <row r="59" spans="1:15" x14ac:dyDescent="0.25">
      <c r="A59">
        <v>58</v>
      </c>
      <c r="B59" t="s">
        <v>15</v>
      </c>
      <c r="C59" s="1">
        <v>46265</v>
      </c>
      <c r="D59" t="s">
        <v>16</v>
      </c>
      <c r="E59" t="str">
        <f t="shared" si="2"/>
        <v>12-00</v>
      </c>
      <c r="F59">
        <v>4508</v>
      </c>
      <c r="G59" t="s">
        <v>79</v>
      </c>
      <c r="H59" s="2">
        <v>0.4855902777777778</v>
      </c>
      <c r="I59" s="2">
        <v>0.49520833333333331</v>
      </c>
      <c r="J59" s="2">
        <v>9.618055555555555E-3</v>
      </c>
      <c r="K59" t="s">
        <v>36</v>
      </c>
      <c r="L59" t="s">
        <v>80</v>
      </c>
      <c r="M59" t="s">
        <v>31</v>
      </c>
      <c r="N59" t="s">
        <v>32</v>
      </c>
      <c r="O59" t="s">
        <v>81</v>
      </c>
    </row>
    <row r="60" spans="1:15" x14ac:dyDescent="0.25">
      <c r="A60">
        <v>59</v>
      </c>
      <c r="B60" t="s">
        <v>15</v>
      </c>
      <c r="C60" s="1">
        <v>46265</v>
      </c>
      <c r="D60" t="s">
        <v>16</v>
      </c>
      <c r="E60" t="str">
        <f t="shared" si="2"/>
        <v>12-00</v>
      </c>
      <c r="F60">
        <v>1</v>
      </c>
      <c r="G60" t="s">
        <v>22</v>
      </c>
      <c r="H60" s="2">
        <v>0.49520833333333331</v>
      </c>
      <c r="I60" s="2">
        <v>0.49572916666666672</v>
      </c>
      <c r="J60" s="2">
        <v>5.2083333333333333E-4</v>
      </c>
      <c r="L60" t="s">
        <v>23</v>
      </c>
      <c r="M60" t="s">
        <v>24</v>
      </c>
      <c r="N60" t="s">
        <v>22</v>
      </c>
    </row>
    <row r="61" spans="1:15" x14ac:dyDescent="0.25">
      <c r="A61">
        <v>60</v>
      </c>
      <c r="B61" t="s">
        <v>15</v>
      </c>
      <c r="C61" s="1">
        <v>46265</v>
      </c>
      <c r="D61" t="s">
        <v>16</v>
      </c>
      <c r="E61" t="str">
        <f t="shared" si="2"/>
        <v>12-00</v>
      </c>
      <c r="F61">
        <v>5810</v>
      </c>
      <c r="G61" t="s">
        <v>25</v>
      </c>
      <c r="H61" s="2">
        <v>0.49572916666666672</v>
      </c>
      <c r="I61" s="2">
        <v>0.49618055555555557</v>
      </c>
      <c r="J61" s="2">
        <v>4.5138888888888892E-4</v>
      </c>
      <c r="L61" t="s">
        <v>26</v>
      </c>
      <c r="M61" t="s">
        <v>24</v>
      </c>
      <c r="N61" t="s">
        <v>27</v>
      </c>
      <c r="O61" t="s">
        <v>28</v>
      </c>
    </row>
    <row r="62" spans="1:15" x14ac:dyDescent="0.25">
      <c r="A62">
        <v>61</v>
      </c>
      <c r="B62" t="s">
        <v>15</v>
      </c>
      <c r="C62" s="1">
        <v>46265</v>
      </c>
      <c r="D62" t="s">
        <v>16</v>
      </c>
      <c r="E62" t="str">
        <f t="shared" si="2"/>
        <v>12-00</v>
      </c>
      <c r="F62">
        <v>1</v>
      </c>
      <c r="G62" t="s">
        <v>22</v>
      </c>
      <c r="H62" s="2">
        <v>0.49618055555555557</v>
      </c>
      <c r="I62" s="2">
        <v>0.49708333333333332</v>
      </c>
      <c r="J62" s="2">
        <v>9.0277777777777784E-4</v>
      </c>
      <c r="L62" t="s">
        <v>23</v>
      </c>
      <c r="M62" t="s">
        <v>24</v>
      </c>
      <c r="N62" t="s">
        <v>22</v>
      </c>
    </row>
    <row r="63" spans="1:15" x14ac:dyDescent="0.25">
      <c r="A63">
        <v>62</v>
      </c>
      <c r="B63" t="s">
        <v>15</v>
      </c>
      <c r="C63" s="1">
        <v>46265</v>
      </c>
      <c r="D63" t="s">
        <v>16</v>
      </c>
      <c r="E63" t="str">
        <f t="shared" si="2"/>
        <v>12-00</v>
      </c>
      <c r="F63">
        <v>4508</v>
      </c>
      <c r="G63" t="s">
        <v>79</v>
      </c>
      <c r="H63" s="2">
        <v>0.49708333333333332</v>
      </c>
      <c r="I63" s="2">
        <v>0.50651620370370376</v>
      </c>
      <c r="J63" s="2">
        <v>9.432870370370371E-3</v>
      </c>
      <c r="K63" t="s">
        <v>36</v>
      </c>
      <c r="L63" t="s">
        <v>80</v>
      </c>
      <c r="M63" t="s">
        <v>31</v>
      </c>
      <c r="N63" t="s">
        <v>32</v>
      </c>
      <c r="O63" t="s">
        <v>81</v>
      </c>
    </row>
    <row r="64" spans="1:15" x14ac:dyDescent="0.25">
      <c r="A64">
        <v>63</v>
      </c>
      <c r="B64" t="s">
        <v>15</v>
      </c>
      <c r="C64" s="1">
        <v>46265</v>
      </c>
      <c r="D64" t="s">
        <v>16</v>
      </c>
      <c r="E64" t="str">
        <f t="shared" si="2"/>
        <v>12-00</v>
      </c>
      <c r="F64">
        <v>1</v>
      </c>
      <c r="G64" t="s">
        <v>22</v>
      </c>
      <c r="H64" s="2">
        <v>0.50651620370370376</v>
      </c>
      <c r="I64" s="2">
        <v>0.50754629629629633</v>
      </c>
      <c r="J64" s="2">
        <v>1.0300925925925926E-3</v>
      </c>
      <c r="L64" t="s">
        <v>23</v>
      </c>
      <c r="M64" t="s">
        <v>24</v>
      </c>
      <c r="N64" t="s">
        <v>22</v>
      </c>
    </row>
    <row r="65" spans="1:15" x14ac:dyDescent="0.25">
      <c r="A65">
        <v>64</v>
      </c>
      <c r="B65" t="s">
        <v>15</v>
      </c>
      <c r="C65" s="1">
        <v>46265</v>
      </c>
      <c r="D65" t="s">
        <v>16</v>
      </c>
      <c r="E65" t="str">
        <f t="shared" si="2"/>
        <v>12-00</v>
      </c>
      <c r="F65">
        <v>5454</v>
      </c>
      <c r="G65" t="s">
        <v>65</v>
      </c>
      <c r="H65" s="2">
        <v>0.50754629629629633</v>
      </c>
      <c r="I65" s="2">
        <v>0.50780092592592596</v>
      </c>
      <c r="J65" s="2">
        <v>2.5462962962962961E-4</v>
      </c>
      <c r="L65" t="s">
        <v>26</v>
      </c>
      <c r="M65" t="s">
        <v>24</v>
      </c>
      <c r="N65" t="s">
        <v>27</v>
      </c>
      <c r="O65" t="s">
        <v>28</v>
      </c>
    </row>
    <row r="66" spans="1:15" x14ac:dyDescent="0.25">
      <c r="A66">
        <v>65</v>
      </c>
      <c r="B66" t="s">
        <v>15</v>
      </c>
      <c r="C66" s="1">
        <v>46265</v>
      </c>
      <c r="D66" t="s">
        <v>16</v>
      </c>
      <c r="E66" t="str">
        <f t="shared" si="2"/>
        <v>12-00</v>
      </c>
      <c r="F66">
        <v>1</v>
      </c>
      <c r="G66" t="s">
        <v>22</v>
      </c>
      <c r="H66" s="2">
        <v>0.50780092592592596</v>
      </c>
      <c r="I66" s="2">
        <v>0.50789351851851849</v>
      </c>
      <c r="J66" s="2">
        <v>9.2592592592592588E-5</v>
      </c>
      <c r="L66" t="s">
        <v>23</v>
      </c>
      <c r="M66" t="s">
        <v>24</v>
      </c>
      <c r="N66" t="s">
        <v>22</v>
      </c>
    </row>
    <row r="67" spans="1:15" x14ac:dyDescent="0.25">
      <c r="A67">
        <v>66</v>
      </c>
      <c r="B67" t="s">
        <v>15</v>
      </c>
      <c r="C67" s="1">
        <v>46265</v>
      </c>
      <c r="D67" t="s">
        <v>16</v>
      </c>
      <c r="E67" t="str">
        <f t="shared" si="2"/>
        <v>12-00</v>
      </c>
      <c r="F67">
        <v>5146</v>
      </c>
      <c r="G67" t="s">
        <v>82</v>
      </c>
      <c r="H67" s="2">
        <v>0.50789351851851849</v>
      </c>
      <c r="I67" s="2">
        <v>0.51708333333333334</v>
      </c>
      <c r="J67" s="2">
        <v>9.1898148148148139E-3</v>
      </c>
      <c r="K67" t="str">
        <f>"EPISODE 18 (REDIFFUSION)"</f>
        <v>EPISODE 18 (REDIFFUSION)</v>
      </c>
      <c r="L67" t="s">
        <v>80</v>
      </c>
      <c r="M67" t="s">
        <v>31</v>
      </c>
      <c r="N67" t="s">
        <v>32</v>
      </c>
      <c r="O67" t="s">
        <v>81</v>
      </c>
    </row>
    <row r="68" spans="1:15" x14ac:dyDescent="0.25">
      <c r="A68">
        <v>67</v>
      </c>
      <c r="B68" t="s">
        <v>15</v>
      </c>
      <c r="C68" s="1">
        <v>46265</v>
      </c>
      <c r="D68" t="s">
        <v>16</v>
      </c>
      <c r="E68" t="str">
        <f t="shared" ref="E68:E78" si="3">"12-50"</f>
        <v>12-50</v>
      </c>
      <c r="F68">
        <v>1</v>
      </c>
      <c r="G68" t="s">
        <v>22</v>
      </c>
      <c r="H68" s="2">
        <v>0.51708333333333334</v>
      </c>
      <c r="I68" s="2">
        <v>0.51788194444444446</v>
      </c>
      <c r="J68" s="2">
        <v>7.9861111111111105E-4</v>
      </c>
      <c r="L68" t="s">
        <v>23</v>
      </c>
      <c r="M68" t="s">
        <v>24</v>
      </c>
      <c r="N68" t="s">
        <v>22</v>
      </c>
    </row>
    <row r="69" spans="1:15" x14ac:dyDescent="0.25">
      <c r="A69">
        <v>68</v>
      </c>
      <c r="B69" t="s">
        <v>15</v>
      </c>
      <c r="C69" s="1">
        <v>46265</v>
      </c>
      <c r="D69" t="s">
        <v>16</v>
      </c>
      <c r="E69" t="str">
        <f t="shared" si="3"/>
        <v>12-50</v>
      </c>
      <c r="F69">
        <v>5810</v>
      </c>
      <c r="G69" t="s">
        <v>25</v>
      </c>
      <c r="H69" s="2">
        <v>0.51788194444444446</v>
      </c>
      <c r="I69" s="2">
        <v>0.51834490740740746</v>
      </c>
      <c r="J69" s="2">
        <v>4.6296296296296293E-4</v>
      </c>
      <c r="L69" t="s">
        <v>26</v>
      </c>
      <c r="M69" t="s">
        <v>24</v>
      </c>
      <c r="N69" t="s">
        <v>27</v>
      </c>
      <c r="O69" t="s">
        <v>28</v>
      </c>
    </row>
    <row r="70" spans="1:15" x14ac:dyDescent="0.25">
      <c r="A70">
        <v>69</v>
      </c>
      <c r="B70" t="s">
        <v>15</v>
      </c>
      <c r="C70" s="1">
        <v>46265</v>
      </c>
      <c r="D70" t="s">
        <v>16</v>
      </c>
      <c r="E70" t="str">
        <f t="shared" si="3"/>
        <v>12-50</v>
      </c>
      <c r="F70">
        <v>1</v>
      </c>
      <c r="G70" t="s">
        <v>22</v>
      </c>
      <c r="H70" s="2">
        <v>0.51834490740740746</v>
      </c>
      <c r="I70" s="2">
        <v>0.51909722222222221</v>
      </c>
      <c r="J70" s="2">
        <v>7.5231481481481471E-4</v>
      </c>
      <c r="L70" t="s">
        <v>23</v>
      </c>
      <c r="M70" t="s">
        <v>24</v>
      </c>
      <c r="N70" t="s">
        <v>22</v>
      </c>
    </row>
    <row r="71" spans="1:15" x14ac:dyDescent="0.25">
      <c r="A71">
        <v>70</v>
      </c>
      <c r="B71" t="s">
        <v>15</v>
      </c>
      <c r="C71" s="1">
        <v>46265</v>
      </c>
      <c r="D71" t="s">
        <v>16</v>
      </c>
      <c r="E71" t="str">
        <f t="shared" si="3"/>
        <v>12-50</v>
      </c>
      <c r="F71">
        <v>3291</v>
      </c>
      <c r="G71" t="s">
        <v>83</v>
      </c>
      <c r="H71" s="2">
        <v>0.51909722222222221</v>
      </c>
      <c r="I71" s="2">
        <v>0.53851851851851851</v>
      </c>
      <c r="J71" s="2">
        <v>1.9421296296296294E-2</v>
      </c>
      <c r="K71" t="s">
        <v>36</v>
      </c>
      <c r="L71" t="s">
        <v>80</v>
      </c>
      <c r="M71" t="s">
        <v>31</v>
      </c>
      <c r="N71" t="s">
        <v>32</v>
      </c>
      <c r="O71" t="s">
        <v>81</v>
      </c>
    </row>
    <row r="72" spans="1:15" x14ac:dyDescent="0.25">
      <c r="A72">
        <v>71</v>
      </c>
      <c r="B72" t="s">
        <v>15</v>
      </c>
      <c r="C72" s="1">
        <v>46265</v>
      </c>
      <c r="D72" t="s">
        <v>16</v>
      </c>
      <c r="E72" t="str">
        <f t="shared" si="3"/>
        <v>12-50</v>
      </c>
      <c r="F72">
        <v>3291</v>
      </c>
      <c r="G72" t="s">
        <v>84</v>
      </c>
      <c r="H72" s="2">
        <v>0.51909722222222221</v>
      </c>
      <c r="I72" s="2">
        <v>0.52817129629629633</v>
      </c>
      <c r="J72" s="2">
        <v>9.0740740740740729E-3</v>
      </c>
      <c r="K72" t="s">
        <v>36</v>
      </c>
      <c r="L72" t="s">
        <v>80</v>
      </c>
      <c r="M72" t="s">
        <v>31</v>
      </c>
      <c r="N72" t="s">
        <v>32</v>
      </c>
      <c r="O72" t="s">
        <v>81</v>
      </c>
    </row>
    <row r="73" spans="1:15" x14ac:dyDescent="0.25">
      <c r="A73">
        <v>72</v>
      </c>
      <c r="B73" t="s">
        <v>15</v>
      </c>
      <c r="C73" s="1">
        <v>46265</v>
      </c>
      <c r="D73" t="s">
        <v>16</v>
      </c>
      <c r="E73" t="str">
        <f t="shared" si="3"/>
        <v>12-50</v>
      </c>
      <c r="F73">
        <v>1</v>
      </c>
      <c r="G73" t="s">
        <v>44</v>
      </c>
      <c r="H73" s="2">
        <v>0.52817129629629633</v>
      </c>
      <c r="I73" s="2">
        <v>0.52939814814814812</v>
      </c>
      <c r="J73" s="2">
        <v>1.2268518518518518E-3</v>
      </c>
      <c r="L73" t="s">
        <v>23</v>
      </c>
      <c r="M73" t="s">
        <v>24</v>
      </c>
      <c r="N73" t="s">
        <v>22</v>
      </c>
    </row>
    <row r="74" spans="1:15" x14ac:dyDescent="0.25">
      <c r="A74">
        <v>73</v>
      </c>
      <c r="B74" t="s">
        <v>15</v>
      </c>
      <c r="C74" s="1">
        <v>46265</v>
      </c>
      <c r="D74" t="s">
        <v>16</v>
      </c>
      <c r="E74" t="str">
        <f t="shared" si="3"/>
        <v>12-50</v>
      </c>
      <c r="F74">
        <v>3291</v>
      </c>
      <c r="G74" t="s">
        <v>85</v>
      </c>
      <c r="H74" s="2">
        <v>0.52939814814814812</v>
      </c>
      <c r="I74" s="2">
        <v>0.53851851851851851</v>
      </c>
      <c r="J74" s="2">
        <v>9.1203703703703707E-3</v>
      </c>
      <c r="K74" t="s">
        <v>36</v>
      </c>
      <c r="L74" t="s">
        <v>80</v>
      </c>
      <c r="M74" t="s">
        <v>31</v>
      </c>
      <c r="N74" t="s">
        <v>32</v>
      </c>
      <c r="O74" t="s">
        <v>81</v>
      </c>
    </row>
    <row r="75" spans="1:15" x14ac:dyDescent="0.25">
      <c r="A75">
        <v>74</v>
      </c>
      <c r="B75" t="s">
        <v>15</v>
      </c>
      <c r="C75" s="1">
        <v>46265</v>
      </c>
      <c r="D75" t="s">
        <v>16</v>
      </c>
      <c r="E75" t="str">
        <f t="shared" si="3"/>
        <v>12-50</v>
      </c>
      <c r="F75">
        <v>1</v>
      </c>
      <c r="G75" t="s">
        <v>22</v>
      </c>
      <c r="H75" s="2">
        <v>0.53851851851851851</v>
      </c>
      <c r="I75" s="2">
        <v>0.53918981481481476</v>
      </c>
      <c r="J75" s="2">
        <v>6.7129629629629625E-4</v>
      </c>
      <c r="L75" t="s">
        <v>23</v>
      </c>
      <c r="M75" t="s">
        <v>24</v>
      </c>
      <c r="N75" t="s">
        <v>22</v>
      </c>
    </row>
    <row r="76" spans="1:15" x14ac:dyDescent="0.25">
      <c r="A76">
        <v>75</v>
      </c>
      <c r="B76" t="s">
        <v>15</v>
      </c>
      <c r="C76" s="1">
        <v>46265</v>
      </c>
      <c r="D76" t="s">
        <v>16</v>
      </c>
      <c r="E76" t="str">
        <f t="shared" si="3"/>
        <v>12-50</v>
      </c>
      <c r="F76">
        <v>5875</v>
      </c>
      <c r="G76" t="s">
        <v>78</v>
      </c>
      <c r="H76" s="2">
        <v>0.53918981481481476</v>
      </c>
      <c r="I76" s="2">
        <v>0.5400462962962963</v>
      </c>
      <c r="J76" s="2">
        <v>8.564814814814815E-4</v>
      </c>
      <c r="L76" t="s">
        <v>26</v>
      </c>
      <c r="M76" t="s">
        <v>24</v>
      </c>
      <c r="N76" t="s">
        <v>27</v>
      </c>
      <c r="O76" t="s">
        <v>28</v>
      </c>
    </row>
    <row r="77" spans="1:15" x14ac:dyDescent="0.25">
      <c r="A77">
        <v>76</v>
      </c>
      <c r="B77" t="s">
        <v>15</v>
      </c>
      <c r="C77" s="1">
        <v>46265</v>
      </c>
      <c r="D77" t="s">
        <v>16</v>
      </c>
      <c r="E77" t="str">
        <f t="shared" si="3"/>
        <v>12-50</v>
      </c>
      <c r="F77">
        <v>5866</v>
      </c>
      <c r="G77" t="str">
        <f>"OPERATION MARHABA 2026"</f>
        <v>OPERATION MARHABA 2026</v>
      </c>
      <c r="H77" s="2">
        <v>0.5400462962962963</v>
      </c>
      <c r="I77" s="2">
        <v>0.5411111111111111</v>
      </c>
      <c r="J77" s="2">
        <v>1.0648148148148147E-3</v>
      </c>
      <c r="L77" t="s">
        <v>86</v>
      </c>
      <c r="M77" t="s">
        <v>24</v>
      </c>
      <c r="N77" t="s">
        <v>27</v>
      </c>
      <c r="O77" t="s">
        <v>87</v>
      </c>
    </row>
    <row r="78" spans="1:15" x14ac:dyDescent="0.25">
      <c r="A78">
        <v>77</v>
      </c>
      <c r="B78" t="s">
        <v>15</v>
      </c>
      <c r="C78" s="1">
        <v>46265</v>
      </c>
      <c r="D78" t="s">
        <v>16</v>
      </c>
      <c r="E78" t="str">
        <f t="shared" si="3"/>
        <v>12-50</v>
      </c>
      <c r="F78">
        <v>5891</v>
      </c>
      <c r="G78" t="str">
        <f>"LEGISLATIVES 2026"</f>
        <v>LEGISLATIVES 2026</v>
      </c>
      <c r="H78" s="2">
        <v>0.5411111111111111</v>
      </c>
      <c r="I78" s="2">
        <v>0.54173611111111108</v>
      </c>
      <c r="J78" s="2">
        <v>6.2500000000000001E-4</v>
      </c>
      <c r="L78" t="s">
        <v>26</v>
      </c>
      <c r="M78" t="s">
        <v>24</v>
      </c>
      <c r="N78" t="s">
        <v>27</v>
      </c>
      <c r="O78" t="s">
        <v>28</v>
      </c>
    </row>
    <row r="79" spans="1:15" x14ac:dyDescent="0.25">
      <c r="A79">
        <v>78</v>
      </c>
      <c r="B79" t="s">
        <v>15</v>
      </c>
      <c r="C79" s="1">
        <v>46265</v>
      </c>
      <c r="D79" t="s">
        <v>16</v>
      </c>
      <c r="E79" t="str">
        <f>"13-00"</f>
        <v>13-00</v>
      </c>
      <c r="F79">
        <v>8</v>
      </c>
      <c r="G79" t="s">
        <v>88</v>
      </c>
      <c r="H79" s="2">
        <v>0.54173611111111108</v>
      </c>
      <c r="I79" s="2">
        <v>0.56790509259259259</v>
      </c>
      <c r="J79" s="2">
        <v>2.6168981481481477E-2</v>
      </c>
      <c r="K79" t="s">
        <v>89</v>
      </c>
      <c r="L79" t="s">
        <v>90</v>
      </c>
      <c r="M79" t="s">
        <v>62</v>
      </c>
      <c r="N79" t="s">
        <v>91</v>
      </c>
    </row>
    <row r="80" spans="1:15" x14ac:dyDescent="0.25">
      <c r="A80">
        <v>79</v>
      </c>
      <c r="B80" t="s">
        <v>15</v>
      </c>
      <c r="C80" s="1">
        <v>46265</v>
      </c>
      <c r="D80" t="s">
        <v>16</v>
      </c>
      <c r="E80" t="str">
        <f t="shared" ref="E80:E87" si="4">"14-00"</f>
        <v>14-00</v>
      </c>
      <c r="F80">
        <v>9</v>
      </c>
      <c r="G80" t="s">
        <v>59</v>
      </c>
      <c r="H80" s="2">
        <v>0.56790509259259259</v>
      </c>
      <c r="I80" s="2">
        <v>0.56898148148148142</v>
      </c>
      <c r="J80" s="2">
        <v>1.0763888888888889E-3</v>
      </c>
      <c r="K80" t="s">
        <v>60</v>
      </c>
      <c r="L80" t="s">
        <v>61</v>
      </c>
      <c r="M80" t="s">
        <v>62</v>
      </c>
      <c r="N80" t="s">
        <v>63</v>
      </c>
      <c r="O80" t="s">
        <v>64</v>
      </c>
    </row>
    <row r="81" spans="1:15" x14ac:dyDescent="0.25">
      <c r="A81">
        <v>80</v>
      </c>
      <c r="B81" t="s">
        <v>15</v>
      </c>
      <c r="C81" s="1">
        <v>46265</v>
      </c>
      <c r="D81" t="s">
        <v>16</v>
      </c>
      <c r="E81" t="str">
        <f t="shared" si="4"/>
        <v>14-00</v>
      </c>
      <c r="F81">
        <v>5891</v>
      </c>
      <c r="G81" t="str">
        <f>"LEGISLATIVES 2026"</f>
        <v>LEGISLATIVES 2026</v>
      </c>
      <c r="H81" s="2">
        <v>0.56898148148148142</v>
      </c>
      <c r="I81" s="2">
        <v>0.56940972222222219</v>
      </c>
      <c r="J81" s="2">
        <v>4.2824074074074075E-4</v>
      </c>
      <c r="L81" t="s">
        <v>26</v>
      </c>
      <c r="M81" t="s">
        <v>24</v>
      </c>
      <c r="N81" t="s">
        <v>27</v>
      </c>
      <c r="O81" t="s">
        <v>28</v>
      </c>
    </row>
    <row r="82" spans="1:15" x14ac:dyDescent="0.25">
      <c r="A82">
        <v>81</v>
      </c>
      <c r="B82" t="s">
        <v>15</v>
      </c>
      <c r="C82" s="1">
        <v>46265</v>
      </c>
      <c r="D82" t="s">
        <v>16</v>
      </c>
      <c r="E82" t="str">
        <f t="shared" si="4"/>
        <v>14-00</v>
      </c>
      <c r="F82">
        <v>1</v>
      </c>
      <c r="G82" t="s">
        <v>22</v>
      </c>
      <c r="H82" s="2">
        <v>0.56940972222222219</v>
      </c>
      <c r="I82" s="2">
        <v>0.56988425925925923</v>
      </c>
      <c r="J82" s="2">
        <v>4.7453703703703704E-4</v>
      </c>
      <c r="L82" t="s">
        <v>23</v>
      </c>
      <c r="M82" t="s">
        <v>24</v>
      </c>
      <c r="N82" t="s">
        <v>22</v>
      </c>
    </row>
    <row r="83" spans="1:15" x14ac:dyDescent="0.25">
      <c r="A83">
        <v>82</v>
      </c>
      <c r="B83" t="s">
        <v>15</v>
      </c>
      <c r="C83" s="1">
        <v>46265</v>
      </c>
      <c r="D83" t="s">
        <v>16</v>
      </c>
      <c r="E83" t="str">
        <f t="shared" si="4"/>
        <v>14-00</v>
      </c>
      <c r="F83">
        <v>5875</v>
      </c>
      <c r="G83" t="s">
        <v>78</v>
      </c>
      <c r="H83" s="2">
        <v>0.56988425925925923</v>
      </c>
      <c r="I83" s="2">
        <v>0.57074074074074077</v>
      </c>
      <c r="J83" s="2">
        <v>8.564814814814815E-4</v>
      </c>
      <c r="L83" t="s">
        <v>26</v>
      </c>
      <c r="M83" t="s">
        <v>24</v>
      </c>
      <c r="N83" t="s">
        <v>27</v>
      </c>
      <c r="O83" t="s">
        <v>28</v>
      </c>
    </row>
    <row r="84" spans="1:15" x14ac:dyDescent="0.25">
      <c r="A84">
        <v>83</v>
      </c>
      <c r="B84" t="s">
        <v>15</v>
      </c>
      <c r="C84" s="1">
        <v>46265</v>
      </c>
      <c r="D84" t="s">
        <v>16</v>
      </c>
      <c r="E84" t="str">
        <f t="shared" si="4"/>
        <v>14-00</v>
      </c>
      <c r="F84">
        <v>1</v>
      </c>
      <c r="G84" t="s">
        <v>22</v>
      </c>
      <c r="H84" s="2">
        <v>0.57074074074074077</v>
      </c>
      <c r="I84" s="2">
        <v>0.57126157407407407</v>
      </c>
      <c r="J84" s="2">
        <v>5.2083333333333333E-4</v>
      </c>
      <c r="L84" t="s">
        <v>23</v>
      </c>
      <c r="M84" t="s">
        <v>24</v>
      </c>
      <c r="N84" t="s">
        <v>22</v>
      </c>
    </row>
    <row r="85" spans="1:15" x14ac:dyDescent="0.25">
      <c r="A85">
        <v>84</v>
      </c>
      <c r="B85" t="s">
        <v>15</v>
      </c>
      <c r="C85" s="1">
        <v>46265</v>
      </c>
      <c r="D85" t="s">
        <v>16</v>
      </c>
      <c r="E85" t="str">
        <f t="shared" si="4"/>
        <v>14-00</v>
      </c>
      <c r="F85">
        <v>5810</v>
      </c>
      <c r="G85" t="s">
        <v>25</v>
      </c>
      <c r="H85" s="2">
        <v>0.57126157407407407</v>
      </c>
      <c r="I85" s="2">
        <v>0.57171296296296303</v>
      </c>
      <c r="J85" s="2">
        <v>4.5138888888888892E-4</v>
      </c>
      <c r="L85" t="s">
        <v>26</v>
      </c>
      <c r="M85" t="s">
        <v>24</v>
      </c>
      <c r="N85" t="s">
        <v>27</v>
      </c>
      <c r="O85" t="s">
        <v>28</v>
      </c>
    </row>
    <row r="86" spans="1:15" x14ac:dyDescent="0.25">
      <c r="A86">
        <v>85</v>
      </c>
      <c r="B86" t="s">
        <v>15</v>
      </c>
      <c r="C86" s="1">
        <v>46265</v>
      </c>
      <c r="D86" t="s">
        <v>16</v>
      </c>
      <c r="E86" t="str">
        <f t="shared" si="4"/>
        <v>14-00</v>
      </c>
      <c r="F86">
        <v>1</v>
      </c>
      <c r="G86" t="s">
        <v>22</v>
      </c>
      <c r="H86" s="2">
        <v>0.57171296296296303</v>
      </c>
      <c r="I86" s="2">
        <v>0.57179398148148153</v>
      </c>
      <c r="J86" s="2">
        <v>8.1018518518518516E-5</v>
      </c>
      <c r="L86" t="s">
        <v>23</v>
      </c>
      <c r="M86" t="s">
        <v>24</v>
      </c>
      <c r="N86" t="s">
        <v>22</v>
      </c>
    </row>
    <row r="87" spans="1:15" x14ac:dyDescent="0.25">
      <c r="A87">
        <v>86</v>
      </c>
      <c r="B87" t="s">
        <v>15</v>
      </c>
      <c r="C87" s="1">
        <v>46265</v>
      </c>
      <c r="D87" t="s">
        <v>16</v>
      </c>
      <c r="E87" t="str">
        <f t="shared" si="4"/>
        <v>14-00</v>
      </c>
      <c r="F87">
        <v>5081</v>
      </c>
      <c r="G87" t="s">
        <v>92</v>
      </c>
      <c r="H87" s="2">
        <v>0.57179398148148153</v>
      </c>
      <c r="I87" s="2">
        <v>0.59262731481481479</v>
      </c>
      <c r="J87" s="2">
        <v>2.0833333333333332E-2</v>
      </c>
      <c r="K87" t="str">
        <f>"EPISODE 29"</f>
        <v>EPISODE 29</v>
      </c>
      <c r="L87" t="s">
        <v>30</v>
      </c>
      <c r="M87" t="s">
        <v>31</v>
      </c>
      <c r="N87" t="s">
        <v>32</v>
      </c>
      <c r="O87" t="s">
        <v>33</v>
      </c>
    </row>
    <row r="88" spans="1:15" x14ac:dyDescent="0.25">
      <c r="A88">
        <v>87</v>
      </c>
      <c r="B88" t="s">
        <v>15</v>
      </c>
      <c r="C88" s="1">
        <v>46265</v>
      </c>
      <c r="D88" t="s">
        <v>16</v>
      </c>
      <c r="E88" t="str">
        <f t="shared" ref="E88:E98" si="5">"14-30"</f>
        <v>14-30</v>
      </c>
      <c r="F88">
        <v>1</v>
      </c>
      <c r="G88" t="s">
        <v>22</v>
      </c>
      <c r="H88" s="2">
        <v>0.59262731481481479</v>
      </c>
      <c r="I88" s="2">
        <v>0.59465277777777781</v>
      </c>
      <c r="J88" s="2">
        <v>2.0254629629629629E-3</v>
      </c>
      <c r="L88" t="s">
        <v>23</v>
      </c>
      <c r="M88" t="s">
        <v>24</v>
      </c>
      <c r="N88" t="s">
        <v>22</v>
      </c>
    </row>
    <row r="89" spans="1:15" x14ac:dyDescent="0.25">
      <c r="A89">
        <v>88</v>
      </c>
      <c r="B89" t="s">
        <v>15</v>
      </c>
      <c r="C89" s="1">
        <v>46265</v>
      </c>
      <c r="D89" t="s">
        <v>16</v>
      </c>
      <c r="E89" t="str">
        <f t="shared" si="5"/>
        <v>14-30</v>
      </c>
      <c r="F89">
        <v>886</v>
      </c>
      <c r="G89" t="s">
        <v>66</v>
      </c>
      <c r="H89" s="2">
        <v>0.59465277777777781</v>
      </c>
      <c r="I89" s="2">
        <v>0.5953356481481481</v>
      </c>
      <c r="J89" s="2">
        <v>6.8287037037037025E-4</v>
      </c>
      <c r="L89" t="s">
        <v>26</v>
      </c>
      <c r="M89" t="s">
        <v>24</v>
      </c>
      <c r="N89" t="s">
        <v>27</v>
      </c>
      <c r="O89" t="s">
        <v>28</v>
      </c>
    </row>
    <row r="90" spans="1:15" x14ac:dyDescent="0.25">
      <c r="A90">
        <v>89</v>
      </c>
      <c r="B90" t="s">
        <v>15</v>
      </c>
      <c r="C90" s="1">
        <v>46265</v>
      </c>
      <c r="D90" t="s">
        <v>16</v>
      </c>
      <c r="E90" t="str">
        <f t="shared" si="5"/>
        <v>14-30</v>
      </c>
      <c r="F90">
        <v>5893</v>
      </c>
      <c r="G90" t="str">
        <f>"HADA WAQTNA : LEGISLATIVES 2026"</f>
        <v>HADA WAQTNA : LEGISLATIVES 2026</v>
      </c>
      <c r="H90" s="2">
        <v>0.5953356481481481</v>
      </c>
      <c r="I90" s="2">
        <v>0.59693287037037035</v>
      </c>
      <c r="J90" s="2">
        <v>1.5972222222222221E-3</v>
      </c>
      <c r="L90" t="s">
        <v>26</v>
      </c>
      <c r="M90" t="s">
        <v>24</v>
      </c>
      <c r="N90" t="s">
        <v>27</v>
      </c>
      <c r="O90" t="s">
        <v>28</v>
      </c>
    </row>
    <row r="91" spans="1:15" x14ac:dyDescent="0.25">
      <c r="A91">
        <v>90</v>
      </c>
      <c r="B91" t="s">
        <v>15</v>
      </c>
      <c r="C91" s="1">
        <v>46265</v>
      </c>
      <c r="D91" t="s">
        <v>16</v>
      </c>
      <c r="E91" t="str">
        <f t="shared" si="5"/>
        <v>14-30</v>
      </c>
      <c r="F91">
        <v>1</v>
      </c>
      <c r="G91" t="s">
        <v>22</v>
      </c>
      <c r="H91" s="2">
        <v>0.59693287037037035</v>
      </c>
      <c r="I91" s="2">
        <v>0.59740740740740739</v>
      </c>
      <c r="J91" s="2">
        <v>4.7453703703703704E-4</v>
      </c>
      <c r="L91" t="s">
        <v>23</v>
      </c>
      <c r="M91" t="s">
        <v>24</v>
      </c>
      <c r="N91" t="s">
        <v>22</v>
      </c>
    </row>
    <row r="92" spans="1:15" x14ac:dyDescent="0.25">
      <c r="A92">
        <v>91</v>
      </c>
      <c r="B92" t="s">
        <v>15</v>
      </c>
      <c r="C92" s="1">
        <v>46265</v>
      </c>
      <c r="D92" t="s">
        <v>16</v>
      </c>
      <c r="E92" t="str">
        <f t="shared" si="5"/>
        <v>14-30</v>
      </c>
      <c r="F92">
        <v>12</v>
      </c>
      <c r="G92" t="s">
        <v>93</v>
      </c>
      <c r="H92" s="2">
        <v>0.59740740740740739</v>
      </c>
      <c r="I92" s="2">
        <v>0.61020833333333335</v>
      </c>
      <c r="J92" s="2">
        <v>1.2800925925925926E-2</v>
      </c>
      <c r="K92" t="s">
        <v>94</v>
      </c>
      <c r="L92" t="s">
        <v>90</v>
      </c>
      <c r="M92" t="s">
        <v>62</v>
      </c>
      <c r="N92" t="s">
        <v>91</v>
      </c>
    </row>
    <row r="93" spans="1:15" x14ac:dyDescent="0.25">
      <c r="A93">
        <v>92</v>
      </c>
      <c r="B93" t="s">
        <v>15</v>
      </c>
      <c r="C93" s="1">
        <v>46265</v>
      </c>
      <c r="D93" t="s">
        <v>16</v>
      </c>
      <c r="E93" t="str">
        <f t="shared" si="5"/>
        <v>14-30</v>
      </c>
      <c r="F93">
        <v>5893</v>
      </c>
      <c r="G93" t="str">
        <f>"HADA WAQTNA : LEGISLATIVES 2026"</f>
        <v>HADA WAQTNA : LEGISLATIVES 2026</v>
      </c>
      <c r="H93" s="2">
        <v>0.61020833333333335</v>
      </c>
      <c r="I93" s="2">
        <v>0.61181712962962964</v>
      </c>
      <c r="J93" s="2">
        <v>1.6087962962962963E-3</v>
      </c>
      <c r="L93" t="s">
        <v>26</v>
      </c>
      <c r="M93" t="s">
        <v>24</v>
      </c>
      <c r="N93" t="s">
        <v>27</v>
      </c>
      <c r="O93" t="s">
        <v>28</v>
      </c>
    </row>
    <row r="94" spans="1:15" x14ac:dyDescent="0.25">
      <c r="A94">
        <v>93</v>
      </c>
      <c r="B94" t="s">
        <v>15</v>
      </c>
      <c r="C94" s="1">
        <v>46265</v>
      </c>
      <c r="D94" t="s">
        <v>16</v>
      </c>
      <c r="E94" t="str">
        <f t="shared" si="5"/>
        <v>14-30</v>
      </c>
      <c r="F94">
        <v>1</v>
      </c>
      <c r="G94" t="s">
        <v>22</v>
      </c>
      <c r="H94" s="2">
        <v>0.61181712962962964</v>
      </c>
      <c r="I94" s="2">
        <v>0.61368055555555556</v>
      </c>
      <c r="J94" s="2">
        <v>1.8634259259259261E-3</v>
      </c>
      <c r="L94" t="s">
        <v>23</v>
      </c>
      <c r="M94" t="s">
        <v>24</v>
      </c>
      <c r="N94" t="s">
        <v>22</v>
      </c>
    </row>
    <row r="95" spans="1:15" x14ac:dyDescent="0.25">
      <c r="A95">
        <v>94</v>
      </c>
      <c r="B95" t="s">
        <v>15</v>
      </c>
      <c r="C95" s="1">
        <v>46265</v>
      </c>
      <c r="D95" t="s">
        <v>16</v>
      </c>
      <c r="E95" t="str">
        <f t="shared" si="5"/>
        <v>14-30</v>
      </c>
      <c r="F95">
        <v>13</v>
      </c>
      <c r="G95" t="s">
        <v>95</v>
      </c>
      <c r="H95" s="2">
        <v>0.61368055555555556</v>
      </c>
      <c r="I95" s="2">
        <v>0.62331018518518522</v>
      </c>
      <c r="J95" s="2">
        <v>9.6296296296296303E-3</v>
      </c>
      <c r="K95" t="s">
        <v>96</v>
      </c>
      <c r="L95" t="s">
        <v>90</v>
      </c>
      <c r="M95" t="s">
        <v>62</v>
      </c>
      <c r="N95" t="s">
        <v>91</v>
      </c>
    </row>
    <row r="96" spans="1:15" x14ac:dyDescent="0.25">
      <c r="A96">
        <v>95</v>
      </c>
      <c r="B96" t="s">
        <v>15</v>
      </c>
      <c r="C96" s="1">
        <v>46265</v>
      </c>
      <c r="D96" t="s">
        <v>16</v>
      </c>
      <c r="E96" t="str">
        <f t="shared" si="5"/>
        <v>14-30</v>
      </c>
      <c r="F96">
        <v>5891</v>
      </c>
      <c r="G96" t="str">
        <f>"LEGISLATIVES 2026"</f>
        <v>LEGISLATIVES 2026</v>
      </c>
      <c r="H96" s="2">
        <v>0.62331018518518522</v>
      </c>
      <c r="I96" s="2">
        <v>0.6237152777777778</v>
      </c>
      <c r="J96" s="2">
        <v>4.0509259259259258E-4</v>
      </c>
      <c r="L96" t="s">
        <v>26</v>
      </c>
      <c r="M96" t="s">
        <v>24</v>
      </c>
      <c r="N96" t="s">
        <v>27</v>
      </c>
      <c r="O96" t="s">
        <v>28</v>
      </c>
    </row>
    <row r="97" spans="1:15" x14ac:dyDescent="0.25">
      <c r="A97">
        <v>96</v>
      </c>
      <c r="B97" t="s">
        <v>15</v>
      </c>
      <c r="C97" s="1">
        <v>46265</v>
      </c>
      <c r="D97" t="s">
        <v>16</v>
      </c>
      <c r="E97" t="str">
        <f t="shared" si="5"/>
        <v>14-30</v>
      </c>
      <c r="F97">
        <v>1</v>
      </c>
      <c r="G97" t="s">
        <v>22</v>
      </c>
      <c r="H97" s="2">
        <v>0.6237152777777778</v>
      </c>
      <c r="I97" s="2">
        <v>0.62439814814814809</v>
      </c>
      <c r="J97" s="2">
        <v>6.8287037037037025E-4</v>
      </c>
      <c r="L97" t="s">
        <v>23</v>
      </c>
      <c r="M97" t="s">
        <v>24</v>
      </c>
      <c r="N97" t="s">
        <v>22</v>
      </c>
    </row>
    <row r="98" spans="1:15" x14ac:dyDescent="0.25">
      <c r="A98">
        <v>97</v>
      </c>
      <c r="B98" t="s">
        <v>15</v>
      </c>
      <c r="C98" s="1">
        <v>46265</v>
      </c>
      <c r="D98" t="s">
        <v>16</v>
      </c>
      <c r="E98" t="str">
        <f t="shared" si="5"/>
        <v>14-30</v>
      </c>
      <c r="F98">
        <v>5810</v>
      </c>
      <c r="G98" t="s">
        <v>25</v>
      </c>
      <c r="H98" s="2">
        <v>0.62439814814814809</v>
      </c>
      <c r="I98" s="2">
        <v>0.62484953703703705</v>
      </c>
      <c r="J98" s="2">
        <v>4.5138888888888892E-4</v>
      </c>
      <c r="L98" t="s">
        <v>26</v>
      </c>
      <c r="M98" t="s">
        <v>24</v>
      </c>
      <c r="N98" t="s">
        <v>27</v>
      </c>
      <c r="O98" t="s">
        <v>28</v>
      </c>
    </row>
    <row r="99" spans="1:15" x14ac:dyDescent="0.25">
      <c r="A99">
        <v>98</v>
      </c>
      <c r="B99" t="s">
        <v>15</v>
      </c>
      <c r="C99" s="1">
        <v>46265</v>
      </c>
      <c r="D99" t="s">
        <v>16</v>
      </c>
      <c r="E99" t="str">
        <f>"15-00"</f>
        <v>15-00</v>
      </c>
      <c r="F99">
        <v>1</v>
      </c>
      <c r="G99" t="s">
        <v>22</v>
      </c>
      <c r="H99" s="2">
        <v>0.62484953703703705</v>
      </c>
      <c r="I99" s="2">
        <v>0.62603009259259257</v>
      </c>
      <c r="J99" s="2">
        <v>1.1805555555555556E-3</v>
      </c>
      <c r="L99" t="s">
        <v>23</v>
      </c>
      <c r="M99" t="s">
        <v>24</v>
      </c>
      <c r="N99" t="s">
        <v>22</v>
      </c>
    </row>
    <row r="100" spans="1:15" x14ac:dyDescent="0.25">
      <c r="A100">
        <v>99</v>
      </c>
      <c r="B100" t="s">
        <v>15</v>
      </c>
      <c r="C100" s="1">
        <v>46265</v>
      </c>
      <c r="D100" t="s">
        <v>16</v>
      </c>
      <c r="E100" t="str">
        <f>"15-00"</f>
        <v>15-00</v>
      </c>
      <c r="F100">
        <v>4922</v>
      </c>
      <c r="G100" t="s">
        <v>97</v>
      </c>
      <c r="H100" s="2">
        <v>0.62603009259259257</v>
      </c>
      <c r="I100" s="2">
        <v>0.66503472222222226</v>
      </c>
      <c r="J100" s="2">
        <v>3.9004629629629632E-2</v>
      </c>
      <c r="K100" t="s">
        <v>98</v>
      </c>
      <c r="L100" t="s">
        <v>99</v>
      </c>
      <c r="M100" t="s">
        <v>19</v>
      </c>
      <c r="N100" t="s">
        <v>20</v>
      </c>
      <c r="O100" t="s">
        <v>100</v>
      </c>
    </row>
    <row r="101" spans="1:15" x14ac:dyDescent="0.25">
      <c r="A101">
        <v>100</v>
      </c>
      <c r="B101" t="s">
        <v>15</v>
      </c>
      <c r="C101" s="1">
        <v>46265</v>
      </c>
      <c r="D101" t="s">
        <v>16</v>
      </c>
      <c r="E101" t="str">
        <f>"15-00"</f>
        <v>15-00</v>
      </c>
      <c r="F101">
        <v>1</v>
      </c>
      <c r="G101" t="s">
        <v>22</v>
      </c>
      <c r="H101" s="2">
        <v>0.66503472222222226</v>
      </c>
      <c r="I101" s="2">
        <v>0.66550925925925919</v>
      </c>
      <c r="J101" s="2">
        <v>4.7453703703703704E-4</v>
      </c>
      <c r="L101" t="s">
        <v>23</v>
      </c>
      <c r="M101" t="s">
        <v>24</v>
      </c>
      <c r="N101" t="s">
        <v>22</v>
      </c>
    </row>
    <row r="102" spans="1:15" x14ac:dyDescent="0.25">
      <c r="A102">
        <v>101</v>
      </c>
      <c r="B102" t="s">
        <v>15</v>
      </c>
      <c r="C102" s="1">
        <v>46265</v>
      </c>
      <c r="D102" t="s">
        <v>16</v>
      </c>
      <c r="E102" t="str">
        <f>"15-00"</f>
        <v>15-00</v>
      </c>
      <c r="F102">
        <v>5875</v>
      </c>
      <c r="G102" t="s">
        <v>78</v>
      </c>
      <c r="H102" s="2">
        <v>0.66550925925925919</v>
      </c>
      <c r="I102" s="2">
        <v>0.66642361111111115</v>
      </c>
      <c r="J102" s="2">
        <v>9.1435185185185185E-4</v>
      </c>
      <c r="L102" t="s">
        <v>26</v>
      </c>
      <c r="M102" t="s">
        <v>24</v>
      </c>
      <c r="N102" t="s">
        <v>27</v>
      </c>
      <c r="O102" t="s">
        <v>28</v>
      </c>
    </row>
    <row r="103" spans="1:15" x14ac:dyDescent="0.25">
      <c r="A103">
        <v>102</v>
      </c>
      <c r="B103" t="s">
        <v>15</v>
      </c>
      <c r="C103" s="1">
        <v>46265</v>
      </c>
      <c r="D103" t="s">
        <v>16</v>
      </c>
      <c r="E103" t="str">
        <f>"15-00"</f>
        <v>15-00</v>
      </c>
      <c r="F103">
        <v>5891</v>
      </c>
      <c r="G103" t="str">
        <f>"LEGISLATIVES 2026"</f>
        <v>LEGISLATIVES 2026</v>
      </c>
      <c r="H103" s="2">
        <v>0.66642361111111115</v>
      </c>
      <c r="I103" s="2">
        <v>0.66682870370370362</v>
      </c>
      <c r="J103" s="2">
        <v>4.0509259259259258E-4</v>
      </c>
      <c r="L103" t="s">
        <v>26</v>
      </c>
      <c r="M103" t="s">
        <v>24</v>
      </c>
      <c r="N103" t="s">
        <v>27</v>
      </c>
      <c r="O103" t="s">
        <v>28</v>
      </c>
    </row>
    <row r="104" spans="1:15" x14ac:dyDescent="0.25">
      <c r="A104">
        <v>103</v>
      </c>
      <c r="B104" t="s">
        <v>15</v>
      </c>
      <c r="C104" s="1">
        <v>46265</v>
      </c>
      <c r="D104" t="s">
        <v>16</v>
      </c>
      <c r="E104" t="str">
        <f>"15-30"</f>
        <v>15-30</v>
      </c>
      <c r="F104">
        <v>1</v>
      </c>
      <c r="G104" t="s">
        <v>22</v>
      </c>
      <c r="H104" s="2">
        <v>0.66682870370370362</v>
      </c>
      <c r="I104" s="2">
        <v>0.66756944444444455</v>
      </c>
      <c r="J104" s="2">
        <v>7.407407407407407E-4</v>
      </c>
      <c r="L104" t="s">
        <v>23</v>
      </c>
      <c r="M104" t="s">
        <v>24</v>
      </c>
      <c r="N104" t="s">
        <v>22</v>
      </c>
    </row>
    <row r="105" spans="1:15" x14ac:dyDescent="0.25">
      <c r="A105">
        <v>104</v>
      </c>
      <c r="B105" t="s">
        <v>15</v>
      </c>
      <c r="C105" s="1">
        <v>46265</v>
      </c>
      <c r="D105" t="s">
        <v>16</v>
      </c>
      <c r="E105" t="str">
        <f>"15-30"</f>
        <v>15-30</v>
      </c>
      <c r="F105">
        <v>5898</v>
      </c>
      <c r="G105" t="str">
        <f>"SOIREE DU FESTIVAL DE FES DES MUSIQUES SACREES DU MONDE 2025 -INEDIT-"</f>
        <v>SOIREE DU FESTIVAL DE FES DES MUSIQUES SACREES DU MONDE 2025 -INEDIT-</v>
      </c>
      <c r="H105" s="2">
        <v>0.66756944444444455</v>
      </c>
      <c r="I105" s="2">
        <v>0.71989583333333329</v>
      </c>
      <c r="J105" s="2">
        <v>5.2326388888888888E-2</v>
      </c>
      <c r="L105" t="s">
        <v>101</v>
      </c>
      <c r="M105" t="s">
        <v>102</v>
      </c>
      <c r="N105" t="s">
        <v>103</v>
      </c>
      <c r="O105" t="s">
        <v>104</v>
      </c>
    </row>
    <row r="106" spans="1:15" x14ac:dyDescent="0.25">
      <c r="A106">
        <v>105</v>
      </c>
      <c r="B106" t="s">
        <v>15</v>
      </c>
      <c r="C106" s="1">
        <v>46265</v>
      </c>
      <c r="D106" t="s">
        <v>16</v>
      </c>
      <c r="E106" t="str">
        <f>"15-30"</f>
        <v>15-30</v>
      </c>
      <c r="F106">
        <v>5898</v>
      </c>
      <c r="G106" t="str">
        <f>"     SOIREE DU FESTIVAL DE FES DES MUSIQUES SACREES DU MONDE 2025 -INEDIT- (DEBUT)"</f>
        <v xml:space="preserve">     SOIREE DU FESTIVAL DE FES DES MUSIQUES SACREES DU MONDE 2025 -INEDIT- (DEBUT)</v>
      </c>
      <c r="H106" s="2">
        <v>0.66756944444444455</v>
      </c>
      <c r="I106" s="2">
        <v>0.71185185185185185</v>
      </c>
      <c r="J106" s="2">
        <v>4.4282407407407409E-2</v>
      </c>
      <c r="L106" t="s">
        <v>101</v>
      </c>
      <c r="M106" t="s">
        <v>102</v>
      </c>
      <c r="N106" t="s">
        <v>103</v>
      </c>
      <c r="O106" t="s">
        <v>104</v>
      </c>
    </row>
    <row r="107" spans="1:15" x14ac:dyDescent="0.25">
      <c r="A107">
        <v>106</v>
      </c>
      <c r="B107" t="s">
        <v>15</v>
      </c>
      <c r="C107" s="1">
        <v>46265</v>
      </c>
      <c r="D107" t="s">
        <v>16</v>
      </c>
      <c r="E107" t="str">
        <f t="shared" ref="E107:E115" si="6">"17-11"</f>
        <v>17-11</v>
      </c>
      <c r="F107">
        <v>1</v>
      </c>
      <c r="G107" t="s">
        <v>44</v>
      </c>
      <c r="H107" s="2">
        <v>0.71185185185185185</v>
      </c>
      <c r="I107" s="2">
        <v>0.71195601851851853</v>
      </c>
      <c r="J107" s="2">
        <v>1.0416666666666667E-4</v>
      </c>
      <c r="L107" t="s">
        <v>23</v>
      </c>
      <c r="M107" t="s">
        <v>24</v>
      </c>
      <c r="N107" t="s">
        <v>22</v>
      </c>
    </row>
    <row r="108" spans="1:15" x14ac:dyDescent="0.25">
      <c r="A108">
        <v>107</v>
      </c>
      <c r="B108" t="s">
        <v>15</v>
      </c>
      <c r="C108" s="1">
        <v>46265</v>
      </c>
      <c r="D108" t="s">
        <v>16</v>
      </c>
      <c r="E108" t="str">
        <f t="shared" si="6"/>
        <v>17-11</v>
      </c>
      <c r="F108">
        <v>61</v>
      </c>
      <c r="G108" t="s">
        <v>45</v>
      </c>
      <c r="H108" s="2">
        <v>0.71195601851851853</v>
      </c>
      <c r="I108" s="2">
        <v>0.71309027777777778</v>
      </c>
      <c r="J108" s="2">
        <v>1.1342592592592591E-3</v>
      </c>
      <c r="L108" t="s">
        <v>46</v>
      </c>
      <c r="M108" t="s">
        <v>47</v>
      </c>
      <c r="N108" t="s">
        <v>48</v>
      </c>
    </row>
    <row r="109" spans="1:15" x14ac:dyDescent="0.25">
      <c r="A109">
        <v>108</v>
      </c>
      <c r="B109" t="s">
        <v>15</v>
      </c>
      <c r="C109" s="1">
        <v>46265</v>
      </c>
      <c r="D109" t="s">
        <v>16</v>
      </c>
      <c r="E109" t="str">
        <f t="shared" si="6"/>
        <v>17-11</v>
      </c>
      <c r="F109">
        <v>1</v>
      </c>
      <c r="G109" t="s">
        <v>44</v>
      </c>
      <c r="H109" s="2">
        <v>0.71309027777777778</v>
      </c>
      <c r="I109" s="2">
        <v>0.71319444444444446</v>
      </c>
      <c r="J109" s="2">
        <v>1.0416666666666667E-4</v>
      </c>
      <c r="L109" t="s">
        <v>23</v>
      </c>
      <c r="M109" t="s">
        <v>24</v>
      </c>
      <c r="N109" t="s">
        <v>22</v>
      </c>
    </row>
    <row r="110" spans="1:15" x14ac:dyDescent="0.25">
      <c r="A110">
        <v>109</v>
      </c>
      <c r="B110" t="s">
        <v>15</v>
      </c>
      <c r="C110" s="1">
        <v>46265</v>
      </c>
      <c r="D110" t="s">
        <v>16</v>
      </c>
      <c r="E110" t="str">
        <f t="shared" si="6"/>
        <v>17-11</v>
      </c>
      <c r="F110">
        <v>5898</v>
      </c>
      <c r="G110" t="str">
        <f>"     SOIREE DU FESTIVAL DE FES DES MUSIQUES SACREES DU MONDE 2025 -INEDIT- (SUITE)"</f>
        <v xml:space="preserve">     SOIREE DU FESTIVAL DE FES DES MUSIQUES SACREES DU MONDE 2025 -INEDIT- (SUITE)</v>
      </c>
      <c r="H110" s="2">
        <v>0.71319444444444446</v>
      </c>
      <c r="I110" s="2">
        <v>0.71989583333333329</v>
      </c>
      <c r="J110" s="2">
        <v>6.7013888888888887E-3</v>
      </c>
      <c r="L110" t="s">
        <v>101</v>
      </c>
      <c r="M110" t="s">
        <v>102</v>
      </c>
      <c r="N110" t="s">
        <v>103</v>
      </c>
      <c r="O110" t="s">
        <v>104</v>
      </c>
    </row>
    <row r="111" spans="1:15" x14ac:dyDescent="0.25">
      <c r="A111">
        <v>110</v>
      </c>
      <c r="B111" t="s">
        <v>15</v>
      </c>
      <c r="C111" s="1">
        <v>46265</v>
      </c>
      <c r="D111" t="s">
        <v>16</v>
      </c>
      <c r="E111" t="str">
        <f t="shared" si="6"/>
        <v>17-11</v>
      </c>
      <c r="F111">
        <v>1</v>
      </c>
      <c r="G111" t="s">
        <v>22</v>
      </c>
      <c r="H111" s="2">
        <v>0.71989583333333329</v>
      </c>
      <c r="I111" s="2">
        <v>0.72121527777777772</v>
      </c>
      <c r="J111" s="2">
        <v>1.3194444444444443E-3</v>
      </c>
      <c r="L111" t="s">
        <v>23</v>
      </c>
      <c r="M111" t="s">
        <v>24</v>
      </c>
      <c r="N111" t="s">
        <v>22</v>
      </c>
    </row>
    <row r="112" spans="1:15" x14ac:dyDescent="0.25">
      <c r="A112">
        <v>111</v>
      </c>
      <c r="B112" t="s">
        <v>15</v>
      </c>
      <c r="C112" s="1">
        <v>46265</v>
      </c>
      <c r="D112" t="s">
        <v>16</v>
      </c>
      <c r="E112" t="str">
        <f t="shared" si="6"/>
        <v>17-11</v>
      </c>
      <c r="F112">
        <v>886</v>
      </c>
      <c r="G112" t="s">
        <v>66</v>
      </c>
      <c r="H112" s="2">
        <v>0.72121527777777772</v>
      </c>
      <c r="I112" s="2">
        <v>0.72189814814814823</v>
      </c>
      <c r="J112" s="2">
        <v>6.8287037037037025E-4</v>
      </c>
      <c r="L112" t="s">
        <v>26</v>
      </c>
      <c r="M112" t="s">
        <v>24</v>
      </c>
      <c r="N112" t="s">
        <v>27</v>
      </c>
      <c r="O112" t="s">
        <v>28</v>
      </c>
    </row>
    <row r="113" spans="1:15" x14ac:dyDescent="0.25">
      <c r="A113">
        <v>112</v>
      </c>
      <c r="B113" t="s">
        <v>15</v>
      </c>
      <c r="C113" s="1">
        <v>46265</v>
      </c>
      <c r="D113" t="s">
        <v>16</v>
      </c>
      <c r="E113" t="str">
        <f t="shared" si="6"/>
        <v>17-11</v>
      </c>
      <c r="F113">
        <v>5891</v>
      </c>
      <c r="G113" t="str">
        <f>"LEGISLATIVES 2026"</f>
        <v>LEGISLATIVES 2026</v>
      </c>
      <c r="H113" s="2">
        <v>0.72189814814814823</v>
      </c>
      <c r="I113" s="2">
        <v>0.72233796296296304</v>
      </c>
      <c r="J113" s="2">
        <v>4.3981481481481481E-4</v>
      </c>
      <c r="L113" t="s">
        <v>26</v>
      </c>
      <c r="M113" t="s">
        <v>24</v>
      </c>
      <c r="N113" t="s">
        <v>27</v>
      </c>
      <c r="O113" t="s">
        <v>28</v>
      </c>
    </row>
    <row r="114" spans="1:15" x14ac:dyDescent="0.25">
      <c r="A114">
        <v>113</v>
      </c>
      <c r="B114" t="s">
        <v>15</v>
      </c>
      <c r="C114" s="1">
        <v>46265</v>
      </c>
      <c r="D114" t="s">
        <v>16</v>
      </c>
      <c r="E114" t="str">
        <f t="shared" si="6"/>
        <v>17-11</v>
      </c>
      <c r="F114">
        <v>1</v>
      </c>
      <c r="G114" t="s">
        <v>22</v>
      </c>
      <c r="H114" s="2">
        <v>0.72233796296296304</v>
      </c>
      <c r="I114" s="2">
        <v>0.72243055555555558</v>
      </c>
      <c r="J114" s="2">
        <v>9.2592592592592588E-5</v>
      </c>
      <c r="L114" t="s">
        <v>23</v>
      </c>
      <c r="M114" t="s">
        <v>24</v>
      </c>
      <c r="N114" t="s">
        <v>22</v>
      </c>
    </row>
    <row r="115" spans="1:15" x14ac:dyDescent="0.25">
      <c r="A115">
        <v>114</v>
      </c>
      <c r="B115" t="s">
        <v>15</v>
      </c>
      <c r="C115" s="1">
        <v>46265</v>
      </c>
      <c r="D115" t="s">
        <v>16</v>
      </c>
      <c r="E115" t="str">
        <f t="shared" si="6"/>
        <v>17-11</v>
      </c>
      <c r="F115">
        <v>4357</v>
      </c>
      <c r="G115" t="s">
        <v>105</v>
      </c>
      <c r="H115" s="2">
        <v>0.72243055555555558</v>
      </c>
      <c r="I115" s="2">
        <v>0.76135416666666667</v>
      </c>
      <c r="J115" s="2">
        <v>3.892361111111111E-2</v>
      </c>
      <c r="K115" t="str">
        <f>"MAALIM MANJAMIYA (EPISODE 3)"</f>
        <v>MAALIM MANJAMIYA (EPISODE 3)</v>
      </c>
      <c r="L115" t="s">
        <v>41</v>
      </c>
      <c r="M115" t="s">
        <v>19</v>
      </c>
      <c r="N115" t="s">
        <v>42</v>
      </c>
      <c r="O115" t="s">
        <v>38</v>
      </c>
    </row>
    <row r="116" spans="1:15" x14ac:dyDescent="0.25">
      <c r="A116">
        <v>115</v>
      </c>
      <c r="B116" t="s">
        <v>15</v>
      </c>
      <c r="C116" s="1">
        <v>46265</v>
      </c>
      <c r="D116" t="s">
        <v>16</v>
      </c>
      <c r="E116" t="str">
        <f t="shared" ref="E116:E122" si="7">"18-15"</f>
        <v>18-15</v>
      </c>
      <c r="F116">
        <v>5810</v>
      </c>
      <c r="G116" t="s">
        <v>25</v>
      </c>
      <c r="H116" s="2">
        <v>0.76135416666666667</v>
      </c>
      <c r="I116" s="2">
        <v>0.76180555555555562</v>
      </c>
      <c r="J116" s="2">
        <v>4.5138888888888892E-4</v>
      </c>
      <c r="L116" t="s">
        <v>26</v>
      </c>
      <c r="M116" t="s">
        <v>24</v>
      </c>
      <c r="N116" t="s">
        <v>27</v>
      </c>
      <c r="O116" t="s">
        <v>28</v>
      </c>
    </row>
    <row r="117" spans="1:15" x14ac:dyDescent="0.25">
      <c r="A117">
        <v>116</v>
      </c>
      <c r="B117" t="s">
        <v>15</v>
      </c>
      <c r="C117" s="1">
        <v>46265</v>
      </c>
      <c r="D117" t="s">
        <v>16</v>
      </c>
      <c r="E117" t="str">
        <f t="shared" si="7"/>
        <v>18-15</v>
      </c>
      <c r="F117">
        <v>1</v>
      </c>
      <c r="G117" t="s">
        <v>22</v>
      </c>
      <c r="H117" s="2">
        <v>0.76180555555555562</v>
      </c>
      <c r="I117" s="2">
        <v>0.76232638888888893</v>
      </c>
      <c r="J117" s="2">
        <v>5.2083333333333333E-4</v>
      </c>
      <c r="L117" t="s">
        <v>23</v>
      </c>
      <c r="M117" t="s">
        <v>24</v>
      </c>
      <c r="N117" t="s">
        <v>22</v>
      </c>
    </row>
    <row r="118" spans="1:15" x14ac:dyDescent="0.25">
      <c r="A118">
        <v>117</v>
      </c>
      <c r="B118" t="s">
        <v>15</v>
      </c>
      <c r="C118" s="1">
        <v>46265</v>
      </c>
      <c r="D118" t="s">
        <v>16</v>
      </c>
      <c r="E118" t="str">
        <f t="shared" si="7"/>
        <v>18-15</v>
      </c>
      <c r="F118">
        <v>5893</v>
      </c>
      <c r="G118" t="str">
        <f>"HADA WAQTNA : LEGISLATIVES 2026"</f>
        <v>HADA WAQTNA : LEGISLATIVES 2026</v>
      </c>
      <c r="H118" s="2">
        <v>0.76232638888888893</v>
      </c>
      <c r="I118" s="2">
        <v>0.76344907407407403</v>
      </c>
      <c r="J118" s="2">
        <v>1.1226851851851851E-3</v>
      </c>
      <c r="L118" t="s">
        <v>26</v>
      </c>
      <c r="M118" t="s">
        <v>24</v>
      </c>
      <c r="N118" t="s">
        <v>27</v>
      </c>
      <c r="O118" t="s">
        <v>28</v>
      </c>
    </row>
    <row r="119" spans="1:15" x14ac:dyDescent="0.25">
      <c r="A119">
        <v>118</v>
      </c>
      <c r="B119" t="s">
        <v>15</v>
      </c>
      <c r="C119" s="1">
        <v>46265</v>
      </c>
      <c r="D119" t="s">
        <v>16</v>
      </c>
      <c r="E119" t="str">
        <f t="shared" si="7"/>
        <v>18-15</v>
      </c>
      <c r="F119">
        <v>1</v>
      </c>
      <c r="G119" t="s">
        <v>22</v>
      </c>
      <c r="H119" s="2">
        <v>0.76344907407407403</v>
      </c>
      <c r="I119" s="2">
        <v>0.76354166666666667</v>
      </c>
      <c r="J119" s="2">
        <v>9.2592592592592588E-5</v>
      </c>
      <c r="L119" t="s">
        <v>23</v>
      </c>
      <c r="M119" t="s">
        <v>24</v>
      </c>
      <c r="N119" t="s">
        <v>22</v>
      </c>
    </row>
    <row r="120" spans="1:15" x14ac:dyDescent="0.25">
      <c r="A120">
        <v>119</v>
      </c>
      <c r="B120" t="s">
        <v>15</v>
      </c>
      <c r="C120" s="1">
        <v>46265</v>
      </c>
      <c r="D120" t="s">
        <v>16</v>
      </c>
      <c r="E120" t="str">
        <f t="shared" si="7"/>
        <v>18-15</v>
      </c>
      <c r="F120">
        <v>4866</v>
      </c>
      <c r="G120" t="s">
        <v>106</v>
      </c>
      <c r="H120" s="2">
        <v>0.76354166666666667</v>
      </c>
      <c r="I120" s="2">
        <v>0.76885416666666673</v>
      </c>
      <c r="J120" s="2">
        <v>5.3125000000000004E-3</v>
      </c>
      <c r="L120" t="s">
        <v>99</v>
      </c>
      <c r="M120" t="s">
        <v>19</v>
      </c>
      <c r="N120" t="s">
        <v>20</v>
      </c>
      <c r="O120" t="s">
        <v>100</v>
      </c>
    </row>
    <row r="121" spans="1:15" x14ac:dyDescent="0.25">
      <c r="A121">
        <v>120</v>
      </c>
      <c r="B121" t="s">
        <v>15</v>
      </c>
      <c r="C121" s="1">
        <v>46265</v>
      </c>
      <c r="D121" t="s">
        <v>16</v>
      </c>
      <c r="E121" t="str">
        <f t="shared" si="7"/>
        <v>18-15</v>
      </c>
      <c r="F121">
        <v>886</v>
      </c>
      <c r="G121" t="s">
        <v>66</v>
      </c>
      <c r="H121" s="2">
        <v>0.76885416666666673</v>
      </c>
      <c r="I121" s="2">
        <v>0.76953703703703702</v>
      </c>
      <c r="J121" s="2">
        <v>6.8287037037037025E-4</v>
      </c>
      <c r="L121" t="s">
        <v>26</v>
      </c>
      <c r="M121" t="s">
        <v>24</v>
      </c>
      <c r="N121" t="s">
        <v>27</v>
      </c>
      <c r="O121" t="s">
        <v>28</v>
      </c>
    </row>
    <row r="122" spans="1:15" x14ac:dyDescent="0.25">
      <c r="A122">
        <v>121</v>
      </c>
      <c r="B122" t="s">
        <v>15</v>
      </c>
      <c r="C122" s="1">
        <v>46265</v>
      </c>
      <c r="D122" t="s">
        <v>16</v>
      </c>
      <c r="E122" t="str">
        <f t="shared" si="7"/>
        <v>18-15</v>
      </c>
      <c r="F122">
        <v>5893</v>
      </c>
      <c r="G122" t="str">
        <f>"HADA WAQTNA : LEGISLATIVES 2026"</f>
        <v>HADA WAQTNA : LEGISLATIVES 2026</v>
      </c>
      <c r="H122" s="2">
        <v>0.76953703703703702</v>
      </c>
      <c r="I122" s="2">
        <v>0.77090277777777771</v>
      </c>
      <c r="J122" s="2">
        <v>1.3657407407407409E-3</v>
      </c>
      <c r="L122" t="s">
        <v>26</v>
      </c>
      <c r="M122" t="s">
        <v>24</v>
      </c>
      <c r="N122" t="s">
        <v>27</v>
      </c>
      <c r="O122" t="s">
        <v>28</v>
      </c>
    </row>
    <row r="123" spans="1:15" x14ac:dyDescent="0.25">
      <c r="A123">
        <v>122</v>
      </c>
      <c r="B123" t="s">
        <v>15</v>
      </c>
      <c r="C123" s="1">
        <v>46265</v>
      </c>
      <c r="D123" t="s">
        <v>16</v>
      </c>
      <c r="E123" t="str">
        <f t="shared" ref="E123:E134" si="8">"18-50"</f>
        <v>18-50</v>
      </c>
      <c r="F123">
        <v>20</v>
      </c>
      <c r="G123" t="s">
        <v>107</v>
      </c>
      <c r="H123" s="2">
        <v>0.77090277777777771</v>
      </c>
      <c r="I123" s="2">
        <v>0.78302083333333339</v>
      </c>
      <c r="J123" s="2">
        <v>1.2118055555555556E-2</v>
      </c>
      <c r="K123" t="s">
        <v>108</v>
      </c>
      <c r="L123" t="s">
        <v>90</v>
      </c>
      <c r="M123" t="s">
        <v>62</v>
      </c>
      <c r="N123" t="s">
        <v>91</v>
      </c>
    </row>
    <row r="124" spans="1:15" x14ac:dyDescent="0.25">
      <c r="A124">
        <v>123</v>
      </c>
      <c r="B124" t="s">
        <v>15</v>
      </c>
      <c r="C124" s="1">
        <v>46265</v>
      </c>
      <c r="D124" t="s">
        <v>16</v>
      </c>
      <c r="E124" t="str">
        <f t="shared" si="8"/>
        <v>18-50</v>
      </c>
      <c r="F124">
        <v>5893</v>
      </c>
      <c r="G124" t="str">
        <f>"HADA WAQTNA : LEGISLATIVES 2026"</f>
        <v>HADA WAQTNA : LEGISLATIVES 2026</v>
      </c>
      <c r="H124" s="2">
        <v>0.78302083333333339</v>
      </c>
      <c r="I124" s="2">
        <v>0.78461805555555564</v>
      </c>
      <c r="J124" s="2">
        <v>1.5972222222222221E-3</v>
      </c>
      <c r="L124" t="s">
        <v>26</v>
      </c>
      <c r="M124" t="s">
        <v>24</v>
      </c>
      <c r="N124" t="s">
        <v>27</v>
      </c>
      <c r="O124" t="s">
        <v>28</v>
      </c>
    </row>
    <row r="125" spans="1:15" x14ac:dyDescent="0.25">
      <c r="A125">
        <v>124</v>
      </c>
      <c r="B125" t="s">
        <v>15</v>
      </c>
      <c r="C125" s="1">
        <v>46265</v>
      </c>
      <c r="D125" t="s">
        <v>16</v>
      </c>
      <c r="E125" t="str">
        <f t="shared" si="8"/>
        <v>18-50</v>
      </c>
      <c r="F125">
        <v>5875</v>
      </c>
      <c r="G125" t="s">
        <v>78</v>
      </c>
      <c r="H125" s="2">
        <v>0.78461805555555564</v>
      </c>
      <c r="I125" s="2">
        <v>0.78554398148148152</v>
      </c>
      <c r="J125" s="2">
        <v>9.2592592592592585E-4</v>
      </c>
      <c r="L125" t="s">
        <v>26</v>
      </c>
      <c r="M125" t="s">
        <v>24</v>
      </c>
      <c r="N125" t="s">
        <v>27</v>
      </c>
      <c r="O125" t="s">
        <v>28</v>
      </c>
    </row>
    <row r="126" spans="1:15" x14ac:dyDescent="0.25">
      <c r="A126">
        <v>125</v>
      </c>
      <c r="B126" t="s">
        <v>15</v>
      </c>
      <c r="C126" s="1">
        <v>46265</v>
      </c>
      <c r="D126" t="s">
        <v>16</v>
      </c>
      <c r="E126" t="str">
        <f t="shared" si="8"/>
        <v>18-50</v>
      </c>
      <c r="F126">
        <v>5810</v>
      </c>
      <c r="G126" t="s">
        <v>25</v>
      </c>
      <c r="H126" s="2">
        <v>0.78554398148148152</v>
      </c>
      <c r="I126" s="2">
        <v>0.78599537037037026</v>
      </c>
      <c r="J126" s="2">
        <v>4.5138888888888892E-4</v>
      </c>
      <c r="L126" t="s">
        <v>26</v>
      </c>
      <c r="M126" t="s">
        <v>24</v>
      </c>
      <c r="N126" t="s">
        <v>27</v>
      </c>
      <c r="O126" t="s">
        <v>28</v>
      </c>
    </row>
    <row r="127" spans="1:15" x14ac:dyDescent="0.25">
      <c r="A127">
        <v>126</v>
      </c>
      <c r="B127" t="s">
        <v>15</v>
      </c>
      <c r="C127" s="1">
        <v>46265</v>
      </c>
      <c r="D127" t="s">
        <v>16</v>
      </c>
      <c r="E127" t="str">
        <f t="shared" si="8"/>
        <v>18-50</v>
      </c>
      <c r="F127">
        <v>1</v>
      </c>
      <c r="G127" t="s">
        <v>22</v>
      </c>
      <c r="H127" s="2">
        <v>0.78599537037037026</v>
      </c>
      <c r="I127" s="2">
        <v>0.78675925925925927</v>
      </c>
      <c r="J127" s="2">
        <v>7.6388888888888893E-4</v>
      </c>
      <c r="L127" t="s">
        <v>23</v>
      </c>
      <c r="M127" t="s">
        <v>24</v>
      </c>
      <c r="N127" t="s">
        <v>22</v>
      </c>
    </row>
    <row r="128" spans="1:15" x14ac:dyDescent="0.25">
      <c r="A128">
        <v>127</v>
      </c>
      <c r="B128" t="s">
        <v>15</v>
      </c>
      <c r="C128" s="1">
        <v>46265</v>
      </c>
      <c r="D128" t="s">
        <v>16</v>
      </c>
      <c r="E128" t="str">
        <f t="shared" si="8"/>
        <v>18-50</v>
      </c>
      <c r="F128">
        <v>5146</v>
      </c>
      <c r="G128" t="s">
        <v>82</v>
      </c>
      <c r="H128" s="2">
        <v>0.78675925925925927</v>
      </c>
      <c r="I128" s="2">
        <v>0.79596064814814815</v>
      </c>
      <c r="J128" s="2">
        <v>9.2013888888888892E-3</v>
      </c>
      <c r="K128" t="str">
        <f>"EPISODE 19"</f>
        <v>EPISODE 19</v>
      </c>
      <c r="L128" t="s">
        <v>80</v>
      </c>
      <c r="M128" t="s">
        <v>31</v>
      </c>
      <c r="N128" t="s">
        <v>32</v>
      </c>
      <c r="O128" t="s">
        <v>81</v>
      </c>
    </row>
    <row r="129" spans="1:15" x14ac:dyDescent="0.25">
      <c r="A129">
        <v>128</v>
      </c>
      <c r="B129" t="s">
        <v>15</v>
      </c>
      <c r="C129" s="1">
        <v>46265</v>
      </c>
      <c r="D129" t="s">
        <v>16</v>
      </c>
      <c r="E129" t="str">
        <f t="shared" si="8"/>
        <v>18-50</v>
      </c>
      <c r="F129">
        <v>1</v>
      </c>
      <c r="G129" t="s">
        <v>22</v>
      </c>
      <c r="H129" s="2">
        <v>0.79596064814814815</v>
      </c>
      <c r="I129" s="2">
        <v>0.79712962962962963</v>
      </c>
      <c r="J129" s="2">
        <v>1.1689814814814816E-3</v>
      </c>
      <c r="L129" t="s">
        <v>23</v>
      </c>
      <c r="M129" t="s">
        <v>24</v>
      </c>
      <c r="N129" t="s">
        <v>22</v>
      </c>
    </row>
    <row r="130" spans="1:15" x14ac:dyDescent="0.25">
      <c r="A130">
        <v>129</v>
      </c>
      <c r="B130" t="s">
        <v>15</v>
      </c>
      <c r="C130" s="1">
        <v>46265</v>
      </c>
      <c r="D130" t="s">
        <v>16</v>
      </c>
      <c r="E130" t="str">
        <f t="shared" si="8"/>
        <v>18-50</v>
      </c>
      <c r="F130">
        <v>5810</v>
      </c>
      <c r="G130" t="s">
        <v>25</v>
      </c>
      <c r="H130" s="2">
        <v>0.79712962962962963</v>
      </c>
      <c r="I130" s="2">
        <v>0.79759259259259263</v>
      </c>
      <c r="J130" s="2">
        <v>4.6296296296296293E-4</v>
      </c>
      <c r="L130" t="s">
        <v>26</v>
      </c>
      <c r="M130" t="s">
        <v>24</v>
      </c>
      <c r="N130" t="s">
        <v>27</v>
      </c>
      <c r="O130" t="s">
        <v>28</v>
      </c>
    </row>
    <row r="131" spans="1:15" x14ac:dyDescent="0.25">
      <c r="A131">
        <v>130</v>
      </c>
      <c r="B131" t="s">
        <v>15</v>
      </c>
      <c r="C131" s="1">
        <v>46265</v>
      </c>
      <c r="D131" t="s">
        <v>16</v>
      </c>
      <c r="E131" t="str">
        <f t="shared" si="8"/>
        <v>18-50</v>
      </c>
      <c r="F131">
        <v>5891</v>
      </c>
      <c r="G131" t="str">
        <f>"LEGISLATIVES 2026"</f>
        <v>LEGISLATIVES 2026</v>
      </c>
      <c r="H131" s="2">
        <v>0.79759259259259263</v>
      </c>
      <c r="I131" s="2">
        <v>0.79821759259259262</v>
      </c>
      <c r="J131" s="2">
        <v>6.2500000000000001E-4</v>
      </c>
      <c r="L131" t="s">
        <v>26</v>
      </c>
      <c r="M131" t="s">
        <v>24</v>
      </c>
      <c r="N131" t="s">
        <v>27</v>
      </c>
      <c r="O131" t="s">
        <v>28</v>
      </c>
    </row>
    <row r="132" spans="1:15" x14ac:dyDescent="0.25">
      <c r="A132">
        <v>131</v>
      </c>
      <c r="B132" t="s">
        <v>15</v>
      </c>
      <c r="C132" s="1">
        <v>46265</v>
      </c>
      <c r="D132" t="s">
        <v>16</v>
      </c>
      <c r="E132" t="str">
        <f t="shared" si="8"/>
        <v>18-50</v>
      </c>
      <c r="F132">
        <v>1</v>
      </c>
      <c r="G132" t="s">
        <v>22</v>
      </c>
      <c r="H132" s="2">
        <v>0.79821759259259262</v>
      </c>
      <c r="I132" s="2">
        <v>0.79831018518518515</v>
      </c>
      <c r="J132" s="2">
        <v>9.2592592592592588E-5</v>
      </c>
      <c r="L132" t="s">
        <v>23</v>
      </c>
      <c r="M132" t="s">
        <v>24</v>
      </c>
      <c r="N132" t="s">
        <v>22</v>
      </c>
    </row>
    <row r="133" spans="1:15" x14ac:dyDescent="0.25">
      <c r="A133">
        <v>132</v>
      </c>
      <c r="B133" t="s">
        <v>15</v>
      </c>
      <c r="C133" s="1">
        <v>46265</v>
      </c>
      <c r="D133" t="s">
        <v>16</v>
      </c>
      <c r="E133" t="str">
        <f t="shared" si="8"/>
        <v>18-50</v>
      </c>
      <c r="F133">
        <v>5085</v>
      </c>
      <c r="G133" t="s">
        <v>109</v>
      </c>
      <c r="H133" s="2">
        <v>0.79831018518518515</v>
      </c>
      <c r="I133" s="2">
        <v>0.83917824074074077</v>
      </c>
      <c r="J133" s="2">
        <v>4.0868055555555553E-2</v>
      </c>
      <c r="K133" t="str">
        <f>"EPISODE 18"</f>
        <v>EPISODE 18</v>
      </c>
      <c r="L133" t="s">
        <v>110</v>
      </c>
      <c r="M133" t="s">
        <v>31</v>
      </c>
      <c r="N133" t="s">
        <v>111</v>
      </c>
      <c r="O133" t="s">
        <v>33</v>
      </c>
    </row>
    <row r="134" spans="1:15" x14ac:dyDescent="0.25">
      <c r="A134">
        <v>133</v>
      </c>
      <c r="B134" t="s">
        <v>15</v>
      </c>
      <c r="C134" s="1">
        <v>46265</v>
      </c>
      <c r="D134" t="s">
        <v>16</v>
      </c>
      <c r="E134" t="str">
        <f t="shared" si="8"/>
        <v>18-50</v>
      </c>
      <c r="F134">
        <v>5085</v>
      </c>
      <c r="G134" t="s">
        <v>112</v>
      </c>
      <c r="H134" s="2">
        <v>0.79831018518518515</v>
      </c>
      <c r="I134" s="2">
        <v>0.81077546296296299</v>
      </c>
      <c r="J134" s="2">
        <v>1.2465277777777777E-2</v>
      </c>
      <c r="K134" t="str">
        <f>"EPISODE 18"</f>
        <v>EPISODE 18</v>
      </c>
      <c r="L134" t="s">
        <v>110</v>
      </c>
      <c r="M134" t="s">
        <v>31</v>
      </c>
      <c r="N134" t="s">
        <v>111</v>
      </c>
      <c r="O134" t="s">
        <v>33</v>
      </c>
    </row>
    <row r="135" spans="1:15" x14ac:dyDescent="0.25">
      <c r="A135">
        <v>134</v>
      </c>
      <c r="B135" t="s">
        <v>15</v>
      </c>
      <c r="C135" s="1">
        <v>46265</v>
      </c>
      <c r="D135" t="s">
        <v>16</v>
      </c>
      <c r="E135" t="str">
        <f t="shared" ref="E135:E150" si="9">"20-20"</f>
        <v>20-20</v>
      </c>
      <c r="F135">
        <v>1</v>
      </c>
      <c r="G135" t="s">
        <v>44</v>
      </c>
      <c r="H135" s="2">
        <v>0.81077546296296299</v>
      </c>
      <c r="I135" s="2">
        <v>0.81127314814814822</v>
      </c>
      <c r="J135" s="2">
        <v>4.9768518518518521E-4</v>
      </c>
      <c r="L135" t="s">
        <v>23</v>
      </c>
      <c r="M135" t="s">
        <v>24</v>
      </c>
      <c r="N135" t="s">
        <v>22</v>
      </c>
    </row>
    <row r="136" spans="1:15" x14ac:dyDescent="0.25">
      <c r="A136">
        <v>135</v>
      </c>
      <c r="B136" t="s">
        <v>15</v>
      </c>
      <c r="C136" s="1">
        <v>46265</v>
      </c>
      <c r="D136" t="s">
        <v>16</v>
      </c>
      <c r="E136" t="str">
        <f t="shared" si="9"/>
        <v>20-20</v>
      </c>
      <c r="F136">
        <v>5810</v>
      </c>
      <c r="G136" t="s">
        <v>113</v>
      </c>
      <c r="H136" s="2">
        <v>0.81127314814814822</v>
      </c>
      <c r="I136" s="2">
        <v>0.81172453703703706</v>
      </c>
      <c r="J136" s="2">
        <v>4.5138888888888892E-4</v>
      </c>
      <c r="L136" t="s">
        <v>26</v>
      </c>
      <c r="M136" t="s">
        <v>24</v>
      </c>
      <c r="N136" t="s">
        <v>27</v>
      </c>
      <c r="O136" t="s">
        <v>28</v>
      </c>
    </row>
    <row r="137" spans="1:15" x14ac:dyDescent="0.25">
      <c r="A137">
        <v>136</v>
      </c>
      <c r="B137" t="s">
        <v>15</v>
      </c>
      <c r="C137" s="1">
        <v>46265</v>
      </c>
      <c r="D137" t="s">
        <v>16</v>
      </c>
      <c r="E137" t="str">
        <f t="shared" si="9"/>
        <v>20-20</v>
      </c>
      <c r="F137">
        <v>886</v>
      </c>
      <c r="G137" t="s">
        <v>114</v>
      </c>
      <c r="H137" s="2">
        <v>0.81172453703703706</v>
      </c>
      <c r="I137" s="2">
        <v>0.81240740740740736</v>
      </c>
      <c r="J137" s="2">
        <v>6.8287037037037025E-4</v>
      </c>
      <c r="L137" t="s">
        <v>26</v>
      </c>
      <c r="M137" t="s">
        <v>24</v>
      </c>
      <c r="N137" t="s">
        <v>27</v>
      </c>
      <c r="O137" t="s">
        <v>28</v>
      </c>
    </row>
    <row r="138" spans="1:15" x14ac:dyDescent="0.25">
      <c r="A138">
        <v>137</v>
      </c>
      <c r="B138" t="s">
        <v>15</v>
      </c>
      <c r="C138" s="1">
        <v>46265</v>
      </c>
      <c r="D138" t="s">
        <v>16</v>
      </c>
      <c r="E138" t="str">
        <f t="shared" si="9"/>
        <v>20-20</v>
      </c>
      <c r="F138">
        <v>5085</v>
      </c>
      <c r="G138" t="s">
        <v>115</v>
      </c>
      <c r="H138" s="2">
        <v>0.81240740740740736</v>
      </c>
      <c r="I138" s="2">
        <v>0.82445601851851846</v>
      </c>
      <c r="J138" s="2">
        <v>1.2048611111111112E-2</v>
      </c>
      <c r="K138" t="str">
        <f>"EPISODE 18"</f>
        <v>EPISODE 18</v>
      </c>
      <c r="L138" t="s">
        <v>110</v>
      </c>
      <c r="M138" t="s">
        <v>31</v>
      </c>
      <c r="N138" t="s">
        <v>111</v>
      </c>
      <c r="O138" t="s">
        <v>33</v>
      </c>
    </row>
    <row r="139" spans="1:15" x14ac:dyDescent="0.25">
      <c r="A139">
        <v>138</v>
      </c>
      <c r="B139" t="s">
        <v>15</v>
      </c>
      <c r="C139" s="1">
        <v>46265</v>
      </c>
      <c r="D139" t="s">
        <v>16</v>
      </c>
      <c r="E139" t="str">
        <f t="shared" si="9"/>
        <v>20-20</v>
      </c>
      <c r="F139">
        <v>5522</v>
      </c>
      <c r="G139" t="s">
        <v>116</v>
      </c>
      <c r="H139" s="2">
        <v>0.82445601851851846</v>
      </c>
      <c r="I139" s="2">
        <v>0.82459490740740737</v>
      </c>
      <c r="J139" s="2">
        <v>1.3888888888888889E-4</v>
      </c>
      <c r="L139" t="s">
        <v>26</v>
      </c>
      <c r="M139" t="s">
        <v>24</v>
      </c>
      <c r="N139" t="s">
        <v>27</v>
      </c>
      <c r="O139" t="s">
        <v>28</v>
      </c>
    </row>
    <row r="140" spans="1:15" x14ac:dyDescent="0.25">
      <c r="A140">
        <v>139</v>
      </c>
      <c r="B140" t="s">
        <v>15</v>
      </c>
      <c r="C140" s="1">
        <v>46265</v>
      </c>
      <c r="D140" t="s">
        <v>16</v>
      </c>
      <c r="E140" t="str">
        <f t="shared" si="9"/>
        <v>20-20</v>
      </c>
      <c r="F140">
        <v>1</v>
      </c>
      <c r="G140" t="s">
        <v>44</v>
      </c>
      <c r="H140" s="2">
        <v>0.82459490740740737</v>
      </c>
      <c r="I140" s="2">
        <v>0.8259143518518518</v>
      </c>
      <c r="J140" s="2">
        <v>1.3194444444444443E-3</v>
      </c>
      <c r="L140" t="s">
        <v>23</v>
      </c>
      <c r="M140" t="s">
        <v>24</v>
      </c>
      <c r="N140" t="s">
        <v>22</v>
      </c>
    </row>
    <row r="141" spans="1:15" x14ac:dyDescent="0.25">
      <c r="A141">
        <v>140</v>
      </c>
      <c r="B141" t="s">
        <v>15</v>
      </c>
      <c r="C141" s="1">
        <v>46265</v>
      </c>
      <c r="D141" t="s">
        <v>16</v>
      </c>
      <c r="E141" t="str">
        <f t="shared" si="9"/>
        <v>20-20</v>
      </c>
      <c r="F141">
        <v>5085</v>
      </c>
      <c r="G141" t="s">
        <v>115</v>
      </c>
      <c r="H141" s="2">
        <v>0.8259143518518518</v>
      </c>
      <c r="I141" s="2">
        <v>0.83269675925925923</v>
      </c>
      <c r="J141" s="2">
        <v>6.782407407407408E-3</v>
      </c>
      <c r="K141" t="str">
        <f>"EPISODE 18"</f>
        <v>EPISODE 18</v>
      </c>
      <c r="L141" t="s">
        <v>110</v>
      </c>
      <c r="M141" t="s">
        <v>31</v>
      </c>
      <c r="N141" t="s">
        <v>111</v>
      </c>
      <c r="O141" t="s">
        <v>33</v>
      </c>
    </row>
    <row r="142" spans="1:15" x14ac:dyDescent="0.25">
      <c r="A142">
        <v>141</v>
      </c>
      <c r="B142" t="s">
        <v>15</v>
      </c>
      <c r="C142" s="1">
        <v>46265</v>
      </c>
      <c r="D142" t="s">
        <v>16</v>
      </c>
      <c r="E142" t="str">
        <f t="shared" si="9"/>
        <v>20-20</v>
      </c>
      <c r="F142">
        <v>1</v>
      </c>
      <c r="G142" t="s">
        <v>44</v>
      </c>
      <c r="H142" s="2">
        <v>0.83269675925925923</v>
      </c>
      <c r="I142" s="2">
        <v>0.83280092592592592</v>
      </c>
      <c r="J142" s="2">
        <v>1.0416666666666667E-4</v>
      </c>
      <c r="L142" t="s">
        <v>23</v>
      </c>
      <c r="M142" t="s">
        <v>24</v>
      </c>
      <c r="N142" t="s">
        <v>22</v>
      </c>
    </row>
    <row r="143" spans="1:15" x14ac:dyDescent="0.25">
      <c r="A143">
        <v>142</v>
      </c>
      <c r="B143" t="s">
        <v>15</v>
      </c>
      <c r="C143" s="1">
        <v>46265</v>
      </c>
      <c r="D143" t="s">
        <v>16</v>
      </c>
      <c r="E143" t="str">
        <f t="shared" si="9"/>
        <v>20-20</v>
      </c>
      <c r="F143">
        <v>61</v>
      </c>
      <c r="G143" t="s">
        <v>45</v>
      </c>
      <c r="H143" s="2">
        <v>0.83280092592592592</v>
      </c>
      <c r="I143" s="2">
        <v>0.83394675925925921</v>
      </c>
      <c r="J143" s="2">
        <v>1.1458333333333333E-3</v>
      </c>
      <c r="L143" t="s">
        <v>46</v>
      </c>
      <c r="M143" t="s">
        <v>47</v>
      </c>
      <c r="N143" t="s">
        <v>48</v>
      </c>
    </row>
    <row r="144" spans="1:15" x14ac:dyDescent="0.25">
      <c r="A144">
        <v>143</v>
      </c>
      <c r="B144" t="s">
        <v>15</v>
      </c>
      <c r="C144" s="1">
        <v>46265</v>
      </c>
      <c r="D144" t="s">
        <v>16</v>
      </c>
      <c r="E144" t="str">
        <f t="shared" si="9"/>
        <v>20-20</v>
      </c>
      <c r="F144">
        <v>1</v>
      </c>
      <c r="G144" t="s">
        <v>44</v>
      </c>
      <c r="H144" s="2">
        <v>0.83394675925925921</v>
      </c>
      <c r="I144" s="2">
        <v>0.834050925925926</v>
      </c>
      <c r="J144" s="2">
        <v>1.0416666666666667E-4</v>
      </c>
      <c r="L144" t="s">
        <v>23</v>
      </c>
      <c r="M144" t="s">
        <v>24</v>
      </c>
      <c r="N144" t="s">
        <v>22</v>
      </c>
    </row>
    <row r="145" spans="1:15" x14ac:dyDescent="0.25">
      <c r="A145">
        <v>144</v>
      </c>
      <c r="B145" t="s">
        <v>15</v>
      </c>
      <c r="C145" s="1">
        <v>46265</v>
      </c>
      <c r="D145" t="s">
        <v>16</v>
      </c>
      <c r="E145" t="str">
        <f t="shared" si="9"/>
        <v>20-20</v>
      </c>
      <c r="F145">
        <v>5085</v>
      </c>
      <c r="G145" t="s">
        <v>115</v>
      </c>
      <c r="H145" s="2">
        <v>0.834050925925926</v>
      </c>
      <c r="I145" s="2">
        <v>0.83917824074074077</v>
      </c>
      <c r="J145" s="2">
        <v>5.1273148148148146E-3</v>
      </c>
      <c r="K145" t="str">
        <f>"EPISODE 18"</f>
        <v>EPISODE 18</v>
      </c>
      <c r="L145" t="s">
        <v>110</v>
      </c>
      <c r="M145" t="s">
        <v>31</v>
      </c>
      <c r="N145" t="s">
        <v>111</v>
      </c>
      <c r="O145" t="s">
        <v>33</v>
      </c>
    </row>
    <row r="146" spans="1:15" x14ac:dyDescent="0.25">
      <c r="A146">
        <v>145</v>
      </c>
      <c r="B146" t="s">
        <v>15</v>
      </c>
      <c r="C146" s="1">
        <v>46265</v>
      </c>
      <c r="D146" t="s">
        <v>16</v>
      </c>
      <c r="E146" t="str">
        <f t="shared" si="9"/>
        <v>20-20</v>
      </c>
      <c r="F146">
        <v>5810</v>
      </c>
      <c r="G146" t="s">
        <v>25</v>
      </c>
      <c r="H146" s="2">
        <v>0.83917824074074077</v>
      </c>
      <c r="I146" s="2">
        <v>0.83962962962962961</v>
      </c>
      <c r="J146" s="2">
        <v>4.5138888888888892E-4</v>
      </c>
      <c r="L146" t="s">
        <v>26</v>
      </c>
      <c r="M146" t="s">
        <v>24</v>
      </c>
      <c r="N146" t="s">
        <v>27</v>
      </c>
      <c r="O146" t="s">
        <v>28</v>
      </c>
    </row>
    <row r="147" spans="1:15" x14ac:dyDescent="0.25">
      <c r="A147">
        <v>146</v>
      </c>
      <c r="B147" t="s">
        <v>15</v>
      </c>
      <c r="C147" s="1">
        <v>46265</v>
      </c>
      <c r="D147" t="s">
        <v>16</v>
      </c>
      <c r="E147" t="str">
        <f t="shared" si="9"/>
        <v>20-20</v>
      </c>
      <c r="F147">
        <v>1</v>
      </c>
      <c r="G147" t="s">
        <v>22</v>
      </c>
      <c r="H147" s="2">
        <v>0.83962962962962961</v>
      </c>
      <c r="I147" s="2">
        <v>0.84078703703703705</v>
      </c>
      <c r="J147" s="2">
        <v>1.1574074074074073E-3</v>
      </c>
      <c r="L147" t="s">
        <v>23</v>
      </c>
      <c r="M147" t="s">
        <v>24</v>
      </c>
      <c r="N147" t="s">
        <v>22</v>
      </c>
    </row>
    <row r="148" spans="1:15" x14ac:dyDescent="0.25">
      <c r="A148">
        <v>147</v>
      </c>
      <c r="B148" t="s">
        <v>15</v>
      </c>
      <c r="C148" s="1">
        <v>46265</v>
      </c>
      <c r="D148" t="s">
        <v>16</v>
      </c>
      <c r="E148" t="str">
        <f t="shared" si="9"/>
        <v>20-20</v>
      </c>
      <c r="F148">
        <v>5893</v>
      </c>
      <c r="G148" t="str">
        <f>"HADA WAQTNA : LEGISLATIVES 2026"</f>
        <v>HADA WAQTNA : LEGISLATIVES 2026</v>
      </c>
      <c r="H148" s="2">
        <v>0.84078703703703705</v>
      </c>
      <c r="I148" s="2">
        <v>0.84189814814814812</v>
      </c>
      <c r="J148" s="2">
        <v>1.1111111111111111E-3</v>
      </c>
      <c r="L148" t="s">
        <v>26</v>
      </c>
      <c r="M148" t="s">
        <v>24</v>
      </c>
      <c r="N148" t="s">
        <v>27</v>
      </c>
      <c r="O148" t="s">
        <v>28</v>
      </c>
    </row>
    <row r="149" spans="1:15" x14ac:dyDescent="0.25">
      <c r="A149">
        <v>148</v>
      </c>
      <c r="B149" t="s">
        <v>15</v>
      </c>
      <c r="C149" s="1">
        <v>46265</v>
      </c>
      <c r="D149" t="s">
        <v>16</v>
      </c>
      <c r="E149" t="str">
        <f t="shared" si="9"/>
        <v>20-20</v>
      </c>
      <c r="F149">
        <v>1</v>
      </c>
      <c r="G149" t="s">
        <v>22</v>
      </c>
      <c r="H149" s="2">
        <v>0.84189814814814812</v>
      </c>
      <c r="I149" s="2">
        <v>0.84199074074074076</v>
      </c>
      <c r="J149" s="2">
        <v>9.2592592592592588E-5</v>
      </c>
      <c r="L149" t="s">
        <v>23</v>
      </c>
      <c r="M149" t="s">
        <v>24</v>
      </c>
      <c r="N149" t="s">
        <v>22</v>
      </c>
    </row>
    <row r="150" spans="1:15" x14ac:dyDescent="0.25">
      <c r="A150">
        <v>149</v>
      </c>
      <c r="B150" t="s">
        <v>15</v>
      </c>
      <c r="C150" s="1">
        <v>46265</v>
      </c>
      <c r="D150" t="s">
        <v>16</v>
      </c>
      <c r="E150" t="str">
        <f t="shared" si="9"/>
        <v>20-20</v>
      </c>
      <c r="F150">
        <v>5892</v>
      </c>
      <c r="G150" t="s">
        <v>117</v>
      </c>
      <c r="H150" s="2">
        <v>0.84199074074074076</v>
      </c>
      <c r="I150" s="2">
        <v>0.87297453703703709</v>
      </c>
      <c r="J150" s="2">
        <v>3.0983796296296297E-2</v>
      </c>
      <c r="L150" t="s">
        <v>118</v>
      </c>
      <c r="M150" t="s">
        <v>19</v>
      </c>
      <c r="N150" t="s">
        <v>20</v>
      </c>
      <c r="O150" t="s">
        <v>119</v>
      </c>
    </row>
    <row r="151" spans="1:15" x14ac:dyDescent="0.25">
      <c r="A151">
        <v>150</v>
      </c>
      <c r="B151" t="s">
        <v>15</v>
      </c>
      <c r="C151" s="1">
        <v>46265</v>
      </c>
      <c r="D151" t="s">
        <v>16</v>
      </c>
      <c r="E151" t="str">
        <f>"20-22"</f>
        <v>20-22</v>
      </c>
      <c r="F151">
        <v>1</v>
      </c>
      <c r="G151" t="s">
        <v>22</v>
      </c>
      <c r="H151" s="2">
        <v>0.87297453703703709</v>
      </c>
      <c r="I151" s="2">
        <v>0.87344907407407402</v>
      </c>
      <c r="J151" s="2">
        <v>4.7453703703703704E-4</v>
      </c>
      <c r="L151" t="s">
        <v>23</v>
      </c>
      <c r="M151" t="s">
        <v>24</v>
      </c>
      <c r="N151" t="s">
        <v>22</v>
      </c>
    </row>
    <row r="152" spans="1:15" x14ac:dyDescent="0.25">
      <c r="A152">
        <v>151</v>
      </c>
      <c r="B152" t="s">
        <v>15</v>
      </c>
      <c r="C152" s="1">
        <v>46265</v>
      </c>
      <c r="D152" t="s">
        <v>16</v>
      </c>
      <c r="E152" t="str">
        <f>"20-22"</f>
        <v>20-22</v>
      </c>
      <c r="F152">
        <v>5875</v>
      </c>
      <c r="G152" t="s">
        <v>78</v>
      </c>
      <c r="H152" s="2">
        <v>0.87344907407407402</v>
      </c>
      <c r="I152" s="2">
        <v>0.87430555555555556</v>
      </c>
      <c r="J152" s="2">
        <v>8.564814814814815E-4</v>
      </c>
      <c r="L152" t="s">
        <v>26</v>
      </c>
      <c r="M152" t="s">
        <v>24</v>
      </c>
      <c r="N152" t="s">
        <v>27</v>
      </c>
      <c r="O152" t="s">
        <v>28</v>
      </c>
    </row>
    <row r="153" spans="1:15" x14ac:dyDescent="0.25">
      <c r="A153">
        <v>152</v>
      </c>
      <c r="B153" t="s">
        <v>15</v>
      </c>
      <c r="C153" s="1">
        <v>46265</v>
      </c>
      <c r="D153" t="s">
        <v>16</v>
      </c>
      <c r="E153" t="str">
        <f>"20-22"</f>
        <v>20-22</v>
      </c>
      <c r="F153">
        <v>1</v>
      </c>
      <c r="G153" t="s">
        <v>22</v>
      </c>
      <c r="H153" s="2">
        <v>0.87430555555555556</v>
      </c>
      <c r="I153" s="2">
        <v>0.87482638888888886</v>
      </c>
      <c r="J153" s="2">
        <v>5.2083333333333333E-4</v>
      </c>
      <c r="L153" t="s">
        <v>23</v>
      </c>
      <c r="M153" t="s">
        <v>24</v>
      </c>
      <c r="N153" t="s">
        <v>22</v>
      </c>
    </row>
    <row r="154" spans="1:15" x14ac:dyDescent="0.25">
      <c r="A154">
        <v>153</v>
      </c>
      <c r="B154" t="s">
        <v>15</v>
      </c>
      <c r="C154" s="1">
        <v>46265</v>
      </c>
      <c r="D154" t="s">
        <v>16</v>
      </c>
      <c r="E154" t="str">
        <f>"20-22"</f>
        <v>20-22</v>
      </c>
      <c r="F154">
        <v>5891</v>
      </c>
      <c r="G154" t="str">
        <f>"LEGISLATIVES 2026"</f>
        <v>LEGISLATIVES 2026</v>
      </c>
      <c r="H154" s="2">
        <v>0.87482638888888886</v>
      </c>
      <c r="I154" s="2">
        <v>0.87523148148148155</v>
      </c>
      <c r="J154" s="2">
        <v>4.0509259259259258E-4</v>
      </c>
      <c r="L154" t="s">
        <v>26</v>
      </c>
      <c r="M154" t="s">
        <v>24</v>
      </c>
      <c r="N154" t="s">
        <v>27</v>
      </c>
      <c r="O154" t="s">
        <v>28</v>
      </c>
    </row>
    <row r="155" spans="1:15" x14ac:dyDescent="0.25">
      <c r="A155">
        <v>154</v>
      </c>
      <c r="B155" t="s">
        <v>15</v>
      </c>
      <c r="C155" s="1">
        <v>46265</v>
      </c>
      <c r="D155" t="s">
        <v>16</v>
      </c>
      <c r="E155" t="str">
        <f>"20-30"</f>
        <v>20-30</v>
      </c>
      <c r="F155">
        <v>8</v>
      </c>
      <c r="G155" t="s">
        <v>88</v>
      </c>
      <c r="H155" s="2">
        <v>0.87523148148148155</v>
      </c>
      <c r="I155" s="2">
        <v>0.91693287037037041</v>
      </c>
      <c r="J155" s="2">
        <v>4.1701388888888885E-2</v>
      </c>
      <c r="K155" t="s">
        <v>120</v>
      </c>
      <c r="L155" t="s">
        <v>90</v>
      </c>
      <c r="M155" t="s">
        <v>62</v>
      </c>
      <c r="N155" t="s">
        <v>91</v>
      </c>
    </row>
    <row r="156" spans="1:15" x14ac:dyDescent="0.25">
      <c r="A156">
        <v>155</v>
      </c>
      <c r="B156" t="s">
        <v>15</v>
      </c>
      <c r="C156" s="1">
        <v>46265</v>
      </c>
      <c r="D156" t="s">
        <v>16</v>
      </c>
      <c r="E156" t="str">
        <f t="shared" ref="E156:E163" si="10">"21-00"</f>
        <v>21-00</v>
      </c>
      <c r="F156">
        <v>9</v>
      </c>
      <c r="G156" t="s">
        <v>59</v>
      </c>
      <c r="H156" s="2">
        <v>0.91693287037037041</v>
      </c>
      <c r="I156" s="2">
        <v>0.9210532407407408</v>
      </c>
      <c r="J156" s="2">
        <v>4.1203703703703706E-3</v>
      </c>
      <c r="K156" t="s">
        <v>121</v>
      </c>
      <c r="L156" t="s">
        <v>61</v>
      </c>
      <c r="M156" t="s">
        <v>62</v>
      </c>
      <c r="N156" t="s">
        <v>63</v>
      </c>
      <c r="O156" t="s">
        <v>64</v>
      </c>
    </row>
    <row r="157" spans="1:15" x14ac:dyDescent="0.25">
      <c r="A157">
        <v>156</v>
      </c>
      <c r="B157" t="s">
        <v>15</v>
      </c>
      <c r="C157" s="1">
        <v>46265</v>
      </c>
      <c r="D157" t="s">
        <v>16</v>
      </c>
      <c r="E157" t="str">
        <f t="shared" si="10"/>
        <v>21-00</v>
      </c>
      <c r="F157">
        <v>5893</v>
      </c>
      <c r="G157" t="str">
        <f>"HADA WAQTNA : LEGISLATIVES 2026"</f>
        <v>HADA WAQTNA : LEGISLATIVES 2026</v>
      </c>
      <c r="H157" s="2">
        <v>0.9210532407407408</v>
      </c>
      <c r="I157" s="2">
        <v>0.92281250000000004</v>
      </c>
      <c r="J157" s="2">
        <v>1.7592592592592592E-3</v>
      </c>
      <c r="L157" t="s">
        <v>26</v>
      </c>
      <c r="M157" t="s">
        <v>24</v>
      </c>
      <c r="N157" t="s">
        <v>27</v>
      </c>
      <c r="O157" t="s">
        <v>28</v>
      </c>
    </row>
    <row r="158" spans="1:15" x14ac:dyDescent="0.25">
      <c r="A158">
        <v>157</v>
      </c>
      <c r="B158" t="s">
        <v>15</v>
      </c>
      <c r="C158" s="1">
        <v>46265</v>
      </c>
      <c r="D158" t="s">
        <v>16</v>
      </c>
      <c r="E158" t="str">
        <f t="shared" si="10"/>
        <v>21-00</v>
      </c>
      <c r="F158">
        <v>5866</v>
      </c>
      <c r="G158" t="str">
        <f>"OPERATION MARHABA 2026"</f>
        <v>OPERATION MARHABA 2026</v>
      </c>
      <c r="H158" s="2">
        <v>0.92281250000000004</v>
      </c>
      <c r="I158" s="2">
        <v>0.92326388888888899</v>
      </c>
      <c r="J158" s="2">
        <v>4.5138888888888892E-4</v>
      </c>
      <c r="L158" t="s">
        <v>86</v>
      </c>
      <c r="M158" t="s">
        <v>24</v>
      </c>
      <c r="N158" t="s">
        <v>27</v>
      </c>
      <c r="O158" t="s">
        <v>87</v>
      </c>
    </row>
    <row r="159" spans="1:15" x14ac:dyDescent="0.25">
      <c r="A159">
        <v>158</v>
      </c>
      <c r="B159" t="s">
        <v>15</v>
      </c>
      <c r="C159" s="1">
        <v>46265</v>
      </c>
      <c r="D159" t="s">
        <v>16</v>
      </c>
      <c r="E159" t="str">
        <f t="shared" si="10"/>
        <v>21-00</v>
      </c>
      <c r="F159">
        <v>5875</v>
      </c>
      <c r="G159" t="s">
        <v>78</v>
      </c>
      <c r="H159" s="2">
        <v>0.92326388888888899</v>
      </c>
      <c r="I159" s="2">
        <v>0.92412037037037031</v>
      </c>
      <c r="J159" s="2">
        <v>8.564814814814815E-4</v>
      </c>
      <c r="L159" t="s">
        <v>26</v>
      </c>
      <c r="M159" t="s">
        <v>24</v>
      </c>
      <c r="N159" t="s">
        <v>27</v>
      </c>
      <c r="O159" t="s">
        <v>28</v>
      </c>
    </row>
    <row r="160" spans="1:15" x14ac:dyDescent="0.25">
      <c r="A160">
        <v>159</v>
      </c>
      <c r="B160" t="s">
        <v>15</v>
      </c>
      <c r="C160" s="1">
        <v>46265</v>
      </c>
      <c r="D160" t="s">
        <v>16</v>
      </c>
      <c r="E160" t="str">
        <f t="shared" si="10"/>
        <v>21-00</v>
      </c>
      <c r="F160">
        <v>5810</v>
      </c>
      <c r="G160" t="s">
        <v>25</v>
      </c>
      <c r="H160" s="2">
        <v>0.92412037037037031</v>
      </c>
      <c r="I160" s="2">
        <v>0.92457175925925927</v>
      </c>
      <c r="J160" s="2">
        <v>4.5138888888888892E-4</v>
      </c>
      <c r="L160" t="s">
        <v>26</v>
      </c>
      <c r="M160" t="s">
        <v>24</v>
      </c>
      <c r="N160" t="s">
        <v>27</v>
      </c>
      <c r="O160" t="s">
        <v>28</v>
      </c>
    </row>
    <row r="161" spans="1:15" x14ac:dyDescent="0.25">
      <c r="A161">
        <v>160</v>
      </c>
      <c r="B161" t="s">
        <v>15</v>
      </c>
      <c r="C161" s="1">
        <v>46265</v>
      </c>
      <c r="D161" t="s">
        <v>16</v>
      </c>
      <c r="E161" t="str">
        <f t="shared" si="10"/>
        <v>21-00</v>
      </c>
      <c r="F161">
        <v>1</v>
      </c>
      <c r="G161" t="s">
        <v>22</v>
      </c>
      <c r="H161" s="2">
        <v>0.92457175925925927</v>
      </c>
      <c r="I161" s="2">
        <v>0.92532407407407413</v>
      </c>
      <c r="J161" s="2">
        <v>7.5231481481481471E-4</v>
      </c>
      <c r="L161" t="s">
        <v>23</v>
      </c>
      <c r="M161" t="s">
        <v>24</v>
      </c>
      <c r="N161" t="s">
        <v>22</v>
      </c>
    </row>
    <row r="162" spans="1:15" x14ac:dyDescent="0.25">
      <c r="A162">
        <v>161</v>
      </c>
      <c r="B162" t="s">
        <v>15</v>
      </c>
      <c r="C162" s="1">
        <v>46265</v>
      </c>
      <c r="D162" t="s">
        <v>16</v>
      </c>
      <c r="E162" t="str">
        <f t="shared" si="10"/>
        <v>21-00</v>
      </c>
      <c r="F162">
        <v>5304</v>
      </c>
      <c r="G162" t="s">
        <v>122</v>
      </c>
      <c r="H162" s="2">
        <v>0.92532407407407413</v>
      </c>
      <c r="I162" s="2">
        <v>0.96494212962962955</v>
      </c>
      <c r="J162" s="2">
        <v>3.9618055555555552E-2</v>
      </c>
      <c r="K162" t="str">
        <f>"EPISODE 8"</f>
        <v>EPISODE 8</v>
      </c>
      <c r="L162" t="s">
        <v>110</v>
      </c>
      <c r="M162" t="s">
        <v>31</v>
      </c>
      <c r="N162" t="s">
        <v>111</v>
      </c>
      <c r="O162" t="s">
        <v>33</v>
      </c>
    </row>
    <row r="163" spans="1:15" x14ac:dyDescent="0.25">
      <c r="A163">
        <v>162</v>
      </c>
      <c r="B163" t="s">
        <v>15</v>
      </c>
      <c r="C163" s="1">
        <v>46265</v>
      </c>
      <c r="D163" t="s">
        <v>16</v>
      </c>
      <c r="E163" t="str">
        <f t="shared" si="10"/>
        <v>21-00</v>
      </c>
      <c r="F163">
        <v>5304</v>
      </c>
      <c r="G163" t="s">
        <v>123</v>
      </c>
      <c r="H163" s="2">
        <v>0.92532407407407413</v>
      </c>
      <c r="I163" s="2">
        <v>0.94217592592592592</v>
      </c>
      <c r="J163" s="2">
        <v>1.6851851851851851E-2</v>
      </c>
      <c r="K163" t="str">
        <f>"EPISODE 8"</f>
        <v>EPISODE 8</v>
      </c>
      <c r="L163" t="s">
        <v>110</v>
      </c>
      <c r="M163" t="s">
        <v>31</v>
      </c>
      <c r="N163" t="s">
        <v>111</v>
      </c>
      <c r="O163" t="s">
        <v>33</v>
      </c>
    </row>
    <row r="164" spans="1:15" x14ac:dyDescent="0.25">
      <c r="A164">
        <v>163</v>
      </c>
      <c r="B164" t="s">
        <v>15</v>
      </c>
      <c r="C164" s="1">
        <v>46265</v>
      </c>
      <c r="D164" t="s">
        <v>16</v>
      </c>
      <c r="E164" t="str">
        <f>"21-22"</f>
        <v>21-22</v>
      </c>
      <c r="F164">
        <v>886</v>
      </c>
      <c r="G164" t="s">
        <v>114</v>
      </c>
      <c r="H164" s="2">
        <v>0.94217592592592592</v>
      </c>
      <c r="I164" s="2">
        <v>0.94285879629629632</v>
      </c>
      <c r="J164" s="2">
        <v>6.8287037037037025E-4</v>
      </c>
      <c r="L164" t="s">
        <v>26</v>
      </c>
      <c r="M164" t="s">
        <v>24</v>
      </c>
      <c r="N164" t="s">
        <v>27</v>
      </c>
      <c r="O164" t="s">
        <v>28</v>
      </c>
    </row>
    <row r="165" spans="1:15" x14ac:dyDescent="0.25">
      <c r="A165">
        <v>164</v>
      </c>
      <c r="B165" t="s">
        <v>15</v>
      </c>
      <c r="C165" s="1">
        <v>46265</v>
      </c>
      <c r="D165" t="s">
        <v>16</v>
      </c>
      <c r="E165" t="str">
        <f>"21-22"</f>
        <v>21-22</v>
      </c>
      <c r="F165">
        <v>5875</v>
      </c>
      <c r="G165" t="s">
        <v>124</v>
      </c>
      <c r="H165" s="2">
        <v>0.94285879629629632</v>
      </c>
      <c r="I165" s="2">
        <v>0.94377314814814817</v>
      </c>
      <c r="J165" s="2">
        <v>9.1435185185185185E-4</v>
      </c>
      <c r="L165" t="s">
        <v>26</v>
      </c>
      <c r="M165" t="s">
        <v>24</v>
      </c>
      <c r="N165" t="s">
        <v>27</v>
      </c>
      <c r="O165" t="s">
        <v>28</v>
      </c>
    </row>
    <row r="166" spans="1:15" x14ac:dyDescent="0.25">
      <c r="A166">
        <v>165</v>
      </c>
      <c r="B166" t="s">
        <v>15</v>
      </c>
      <c r="C166" s="1">
        <v>46265</v>
      </c>
      <c r="D166" t="s">
        <v>16</v>
      </c>
      <c r="E166" t="str">
        <f>"21-22"</f>
        <v>21-22</v>
      </c>
      <c r="F166">
        <v>5522</v>
      </c>
      <c r="G166" t="s">
        <v>116</v>
      </c>
      <c r="H166" s="2">
        <v>0.94377314814814817</v>
      </c>
      <c r="I166" s="2">
        <v>0.94391203703703708</v>
      </c>
      <c r="J166" s="2">
        <v>1.3888888888888889E-4</v>
      </c>
      <c r="L166" t="s">
        <v>26</v>
      </c>
      <c r="M166" t="s">
        <v>24</v>
      </c>
      <c r="N166" t="s">
        <v>27</v>
      </c>
      <c r="O166" t="s">
        <v>28</v>
      </c>
    </row>
    <row r="167" spans="1:15" x14ac:dyDescent="0.25">
      <c r="A167">
        <v>166</v>
      </c>
      <c r="B167" t="s">
        <v>15</v>
      </c>
      <c r="C167" s="1">
        <v>46265</v>
      </c>
      <c r="D167" t="s">
        <v>16</v>
      </c>
      <c r="E167" t="str">
        <f>"21-22"</f>
        <v>21-22</v>
      </c>
      <c r="F167">
        <v>5304</v>
      </c>
      <c r="G167" t="s">
        <v>125</v>
      </c>
      <c r="H167" s="2">
        <v>0.94391203703703708</v>
      </c>
      <c r="I167" s="2">
        <v>0.95439814814814816</v>
      </c>
      <c r="J167" s="2">
        <v>1.0486111111111111E-2</v>
      </c>
      <c r="K167" t="str">
        <f>"EPISODE 8"</f>
        <v>EPISODE 8</v>
      </c>
      <c r="L167" t="s">
        <v>110</v>
      </c>
      <c r="M167" t="s">
        <v>31</v>
      </c>
      <c r="N167" t="s">
        <v>111</v>
      </c>
      <c r="O167" t="s">
        <v>33</v>
      </c>
    </row>
    <row r="168" spans="1:15" x14ac:dyDescent="0.25">
      <c r="A168">
        <v>167</v>
      </c>
      <c r="B168" t="s">
        <v>15</v>
      </c>
      <c r="C168" s="1">
        <v>46265</v>
      </c>
      <c r="D168" t="s">
        <v>16</v>
      </c>
      <c r="E168" t="str">
        <f>"21-32"</f>
        <v>21-32</v>
      </c>
      <c r="F168">
        <v>1</v>
      </c>
      <c r="G168" t="s">
        <v>44</v>
      </c>
      <c r="H168" s="2">
        <v>0.95439814814814816</v>
      </c>
      <c r="I168" s="2">
        <v>0.95519675925925929</v>
      </c>
      <c r="J168" s="2">
        <v>7.9861111111111105E-4</v>
      </c>
      <c r="L168" t="s">
        <v>23</v>
      </c>
      <c r="M168" t="s">
        <v>24</v>
      </c>
      <c r="N168" t="s">
        <v>22</v>
      </c>
    </row>
    <row r="169" spans="1:15" x14ac:dyDescent="0.25">
      <c r="A169">
        <v>168</v>
      </c>
      <c r="B169" t="s">
        <v>15</v>
      </c>
      <c r="C169" s="1">
        <v>46265</v>
      </c>
      <c r="D169" t="s">
        <v>16</v>
      </c>
      <c r="E169" t="str">
        <f>"21-32"</f>
        <v>21-32</v>
      </c>
      <c r="F169">
        <v>5810</v>
      </c>
      <c r="G169" t="s">
        <v>113</v>
      </c>
      <c r="H169" s="2">
        <v>0.95519675925925929</v>
      </c>
      <c r="I169" s="2">
        <v>0.95564814814814814</v>
      </c>
      <c r="J169" s="2">
        <v>4.5138888888888892E-4</v>
      </c>
      <c r="L169" t="s">
        <v>26</v>
      </c>
      <c r="M169" t="s">
        <v>24</v>
      </c>
      <c r="N169" t="s">
        <v>27</v>
      </c>
      <c r="O169" t="s">
        <v>28</v>
      </c>
    </row>
    <row r="170" spans="1:15" x14ac:dyDescent="0.25">
      <c r="A170">
        <v>169</v>
      </c>
      <c r="B170" t="s">
        <v>15</v>
      </c>
      <c r="C170" s="1">
        <v>46265</v>
      </c>
      <c r="D170" t="s">
        <v>16</v>
      </c>
      <c r="E170" t="str">
        <f>"21-32"</f>
        <v>21-32</v>
      </c>
      <c r="F170">
        <v>5304</v>
      </c>
      <c r="G170" t="s">
        <v>125</v>
      </c>
      <c r="H170" s="2">
        <v>0.95564814814814814</v>
      </c>
      <c r="I170" s="2">
        <v>0.96494212962962955</v>
      </c>
      <c r="J170" s="2">
        <v>9.2939814814814812E-3</v>
      </c>
      <c r="K170" t="str">
        <f>"EPISODE 8"</f>
        <v>EPISODE 8</v>
      </c>
      <c r="L170" t="s">
        <v>110</v>
      </c>
      <c r="M170" t="s">
        <v>31</v>
      </c>
      <c r="N170" t="s">
        <v>111</v>
      </c>
      <c r="O170" t="s">
        <v>33</v>
      </c>
    </row>
    <row r="171" spans="1:15" x14ac:dyDescent="0.25">
      <c r="A171">
        <v>170</v>
      </c>
      <c r="B171" t="s">
        <v>15</v>
      </c>
      <c r="C171" s="1">
        <v>46265</v>
      </c>
      <c r="D171" t="s">
        <v>16</v>
      </c>
      <c r="E171" t="str">
        <f t="shared" ref="E171:E176" si="11">"22-45"</f>
        <v>22-45</v>
      </c>
      <c r="F171">
        <v>886</v>
      </c>
      <c r="G171" t="s">
        <v>66</v>
      </c>
      <c r="H171" s="2">
        <v>0.96494212962962955</v>
      </c>
      <c r="I171" s="2">
        <v>0.96562500000000007</v>
      </c>
      <c r="J171" s="2">
        <v>6.8287037037037025E-4</v>
      </c>
      <c r="L171" t="s">
        <v>26</v>
      </c>
      <c r="M171" t="s">
        <v>24</v>
      </c>
      <c r="N171" t="s">
        <v>27</v>
      </c>
      <c r="O171" t="s">
        <v>28</v>
      </c>
    </row>
    <row r="172" spans="1:15" x14ac:dyDescent="0.25">
      <c r="A172">
        <v>171</v>
      </c>
      <c r="B172" t="s">
        <v>15</v>
      </c>
      <c r="C172" s="1">
        <v>46265</v>
      </c>
      <c r="D172" t="s">
        <v>16</v>
      </c>
      <c r="E172" t="str">
        <f t="shared" si="11"/>
        <v>22-45</v>
      </c>
      <c r="F172">
        <v>5522</v>
      </c>
      <c r="G172" t="s">
        <v>126</v>
      </c>
      <c r="H172" s="2">
        <v>0.96562500000000007</v>
      </c>
      <c r="I172" s="2">
        <v>0.96576388888888898</v>
      </c>
      <c r="J172" s="2">
        <v>1.3888888888888889E-4</v>
      </c>
      <c r="L172" t="s">
        <v>26</v>
      </c>
      <c r="M172" t="s">
        <v>24</v>
      </c>
      <c r="N172" t="s">
        <v>27</v>
      </c>
      <c r="O172" t="s">
        <v>28</v>
      </c>
    </row>
    <row r="173" spans="1:15" x14ac:dyDescent="0.25">
      <c r="A173">
        <v>172</v>
      </c>
      <c r="B173" t="s">
        <v>15</v>
      </c>
      <c r="C173" s="1">
        <v>46265</v>
      </c>
      <c r="D173" t="s">
        <v>16</v>
      </c>
      <c r="E173" t="str">
        <f t="shared" si="11"/>
        <v>22-45</v>
      </c>
      <c r="F173">
        <v>1</v>
      </c>
      <c r="G173" t="s">
        <v>22</v>
      </c>
      <c r="H173" s="2">
        <v>0.96576388888888898</v>
      </c>
      <c r="I173" s="2">
        <v>0.9665625000000001</v>
      </c>
      <c r="J173" s="2">
        <v>7.9861111111111105E-4</v>
      </c>
      <c r="L173" t="s">
        <v>23</v>
      </c>
      <c r="M173" t="s">
        <v>24</v>
      </c>
      <c r="N173" t="s">
        <v>22</v>
      </c>
    </row>
    <row r="174" spans="1:15" x14ac:dyDescent="0.25">
      <c r="A174">
        <v>173</v>
      </c>
      <c r="B174" t="s">
        <v>15</v>
      </c>
      <c r="C174" s="1">
        <v>46265</v>
      </c>
      <c r="D174" t="s">
        <v>16</v>
      </c>
      <c r="E174" t="str">
        <f t="shared" si="11"/>
        <v>22-45</v>
      </c>
      <c r="F174">
        <v>5891</v>
      </c>
      <c r="G174" t="str">
        <f>"LEGISLATIVES 2026"</f>
        <v>LEGISLATIVES 2026</v>
      </c>
      <c r="H174" s="2">
        <v>0.9665625000000001</v>
      </c>
      <c r="I174" s="2">
        <v>0.96699074074074076</v>
      </c>
      <c r="J174" s="2">
        <v>4.2824074074074075E-4</v>
      </c>
      <c r="L174" t="s">
        <v>26</v>
      </c>
      <c r="M174" t="s">
        <v>24</v>
      </c>
      <c r="N174" t="s">
        <v>27</v>
      </c>
      <c r="O174" t="s">
        <v>28</v>
      </c>
    </row>
    <row r="175" spans="1:15" x14ac:dyDescent="0.25">
      <c r="A175">
        <v>174</v>
      </c>
      <c r="B175" t="s">
        <v>15</v>
      </c>
      <c r="C175" s="1">
        <v>46265</v>
      </c>
      <c r="D175" t="s">
        <v>16</v>
      </c>
      <c r="E175" t="str">
        <f t="shared" si="11"/>
        <v>22-45</v>
      </c>
      <c r="F175">
        <v>1</v>
      </c>
      <c r="G175" t="s">
        <v>22</v>
      </c>
      <c r="H175" s="2">
        <v>0.96699074074074076</v>
      </c>
      <c r="I175" s="2">
        <v>0.96708333333333341</v>
      </c>
      <c r="J175" s="2">
        <v>9.2592592592592588E-5</v>
      </c>
      <c r="L175" t="s">
        <v>23</v>
      </c>
      <c r="M175" t="s">
        <v>24</v>
      </c>
      <c r="N175" t="s">
        <v>22</v>
      </c>
    </row>
    <row r="176" spans="1:15" x14ac:dyDescent="0.25">
      <c r="A176">
        <v>175</v>
      </c>
      <c r="B176" t="s">
        <v>15</v>
      </c>
      <c r="C176" s="1">
        <v>46265</v>
      </c>
      <c r="D176" t="s">
        <v>16</v>
      </c>
      <c r="E176" t="str">
        <f t="shared" si="11"/>
        <v>22-45</v>
      </c>
      <c r="F176">
        <v>4713</v>
      </c>
      <c r="G176" t="s">
        <v>127</v>
      </c>
      <c r="H176" s="2">
        <v>0.96708333333333341</v>
      </c>
      <c r="I176" s="3">
        <v>1.003287037037037</v>
      </c>
      <c r="J176" s="2">
        <v>3.6203703703703703E-2</v>
      </c>
      <c r="K176" t="s">
        <v>128</v>
      </c>
      <c r="L176" t="s">
        <v>41</v>
      </c>
      <c r="M176" t="s">
        <v>19</v>
      </c>
      <c r="N176" t="s">
        <v>42</v>
      </c>
      <c r="O176" t="s">
        <v>38</v>
      </c>
    </row>
    <row r="177" spans="1:15" x14ac:dyDescent="0.25">
      <c r="A177">
        <v>176</v>
      </c>
      <c r="B177" t="s">
        <v>15</v>
      </c>
      <c r="C177" s="1">
        <v>46265</v>
      </c>
      <c r="D177" t="s">
        <v>16</v>
      </c>
      <c r="E177" t="str">
        <f>"24-00"</f>
        <v>24-00</v>
      </c>
      <c r="F177">
        <v>5875</v>
      </c>
      <c r="G177" t="s">
        <v>78</v>
      </c>
      <c r="H177" s="3">
        <v>1.003287037037037</v>
      </c>
      <c r="I177" s="3">
        <v>1.0041319444444443</v>
      </c>
      <c r="J177" s="2">
        <v>8.449074074074075E-4</v>
      </c>
      <c r="L177" t="s">
        <v>26</v>
      </c>
      <c r="M177" t="s">
        <v>24</v>
      </c>
      <c r="N177" t="s">
        <v>27</v>
      </c>
      <c r="O177" t="s">
        <v>28</v>
      </c>
    </row>
    <row r="178" spans="1:15" x14ac:dyDescent="0.25">
      <c r="A178">
        <v>177</v>
      </c>
      <c r="B178" t="s">
        <v>15</v>
      </c>
      <c r="C178" s="1">
        <v>46265</v>
      </c>
      <c r="D178" t="s">
        <v>16</v>
      </c>
      <c r="E178" t="str">
        <f>"24-00"</f>
        <v>24-00</v>
      </c>
      <c r="F178">
        <v>1</v>
      </c>
      <c r="G178" t="s">
        <v>22</v>
      </c>
      <c r="H178" s="3">
        <v>1.0041319444444443</v>
      </c>
      <c r="I178" s="3">
        <v>1.0047800925925927</v>
      </c>
      <c r="J178" s="2">
        <v>6.4814814814814813E-4</v>
      </c>
      <c r="L178" t="s">
        <v>23</v>
      </c>
      <c r="M178" t="s">
        <v>24</v>
      </c>
      <c r="N178" t="s">
        <v>22</v>
      </c>
    </row>
    <row r="179" spans="1:15" x14ac:dyDescent="0.25">
      <c r="A179">
        <v>178</v>
      </c>
      <c r="B179" t="s">
        <v>15</v>
      </c>
      <c r="C179" s="1">
        <v>46265</v>
      </c>
      <c r="D179" t="s">
        <v>16</v>
      </c>
      <c r="E179" t="str">
        <f>"24-00"</f>
        <v>24-00</v>
      </c>
      <c r="F179">
        <v>5810</v>
      </c>
      <c r="G179" t="s">
        <v>25</v>
      </c>
      <c r="H179" s="3">
        <v>1.0047800925925927</v>
      </c>
      <c r="I179" s="3">
        <v>1.0052430555555556</v>
      </c>
      <c r="J179" s="2">
        <v>4.6296296296296293E-4</v>
      </c>
      <c r="L179" t="s">
        <v>26</v>
      </c>
      <c r="M179" t="s">
        <v>24</v>
      </c>
      <c r="N179" t="s">
        <v>27</v>
      </c>
      <c r="O179" t="s">
        <v>28</v>
      </c>
    </row>
    <row r="180" spans="1:15" x14ac:dyDescent="0.25">
      <c r="A180">
        <v>179</v>
      </c>
      <c r="B180" t="s">
        <v>15</v>
      </c>
      <c r="C180" s="1">
        <v>46265</v>
      </c>
      <c r="D180" t="s">
        <v>16</v>
      </c>
      <c r="E180" t="str">
        <f>"24-00"</f>
        <v>24-00</v>
      </c>
      <c r="F180">
        <v>5891</v>
      </c>
      <c r="G180" t="str">
        <f>"LEGISLATIVES 2026"</f>
        <v>LEGISLATIVES 2026</v>
      </c>
      <c r="H180" s="3">
        <v>1.0052430555555556</v>
      </c>
      <c r="I180" s="3">
        <v>1.0058796296296297</v>
      </c>
      <c r="J180" s="2">
        <v>6.3657407407407402E-4</v>
      </c>
      <c r="L180" t="s">
        <v>26</v>
      </c>
      <c r="M180" t="s">
        <v>24</v>
      </c>
      <c r="N180" t="s">
        <v>27</v>
      </c>
      <c r="O180" t="s">
        <v>28</v>
      </c>
    </row>
    <row r="181" spans="1:15" x14ac:dyDescent="0.25">
      <c r="A181">
        <v>180</v>
      </c>
      <c r="B181" t="s">
        <v>15</v>
      </c>
      <c r="C181" s="1">
        <v>46265</v>
      </c>
      <c r="D181" t="s">
        <v>16</v>
      </c>
      <c r="E181" t="str">
        <f>"24-00"</f>
        <v>24-00</v>
      </c>
      <c r="F181">
        <v>8</v>
      </c>
      <c r="G181" t="s">
        <v>88</v>
      </c>
      <c r="H181" s="3">
        <v>1.0058796296296297</v>
      </c>
      <c r="I181" s="3">
        <v>1.0319212962962963</v>
      </c>
      <c r="J181" s="2">
        <v>2.6041666666666668E-2</v>
      </c>
      <c r="K181" t="s">
        <v>129</v>
      </c>
      <c r="L181" t="s">
        <v>90</v>
      </c>
      <c r="M181" t="s">
        <v>62</v>
      </c>
      <c r="N181" t="s">
        <v>91</v>
      </c>
    </row>
    <row r="182" spans="1:15" x14ac:dyDescent="0.25">
      <c r="A182">
        <v>181</v>
      </c>
      <c r="B182" t="s">
        <v>15</v>
      </c>
      <c r="C182" s="1">
        <v>46265</v>
      </c>
      <c r="D182" t="s">
        <v>16</v>
      </c>
      <c r="E182" t="str">
        <f t="shared" ref="E182:E197" si="12">"25-00"</f>
        <v>25-00</v>
      </c>
      <c r="F182">
        <v>5891</v>
      </c>
      <c r="G182" t="str">
        <f>"LEGISLATIVES 2026"</f>
        <v>LEGISLATIVES 2026</v>
      </c>
      <c r="H182" s="3">
        <v>1.0319212962962963</v>
      </c>
      <c r="I182" s="3">
        <v>1.032337962962963</v>
      </c>
      <c r="J182" s="2">
        <v>4.1666666666666669E-4</v>
      </c>
      <c r="L182" t="s">
        <v>26</v>
      </c>
      <c r="M182" t="s">
        <v>24</v>
      </c>
      <c r="N182" t="s">
        <v>27</v>
      </c>
      <c r="O182" t="s">
        <v>28</v>
      </c>
    </row>
    <row r="183" spans="1:15" x14ac:dyDescent="0.25">
      <c r="A183">
        <v>182</v>
      </c>
      <c r="B183" t="s">
        <v>15</v>
      </c>
      <c r="C183" s="1">
        <v>46265</v>
      </c>
      <c r="D183" t="s">
        <v>16</v>
      </c>
      <c r="E183" t="str">
        <f t="shared" si="12"/>
        <v>25-00</v>
      </c>
      <c r="F183">
        <v>886</v>
      </c>
      <c r="G183" t="s">
        <v>66</v>
      </c>
      <c r="H183" s="3">
        <v>1.032337962962963</v>
      </c>
      <c r="I183" s="3">
        <v>1.0330208333333333</v>
      </c>
      <c r="J183" s="2">
        <v>6.8287037037037025E-4</v>
      </c>
      <c r="L183" t="s">
        <v>26</v>
      </c>
      <c r="M183" t="s">
        <v>24</v>
      </c>
      <c r="N183" t="s">
        <v>27</v>
      </c>
      <c r="O183" t="s">
        <v>28</v>
      </c>
    </row>
    <row r="184" spans="1:15" x14ac:dyDescent="0.25">
      <c r="A184">
        <v>183</v>
      </c>
      <c r="B184" t="s">
        <v>15</v>
      </c>
      <c r="C184" s="1">
        <v>46265</v>
      </c>
      <c r="D184" t="s">
        <v>16</v>
      </c>
      <c r="E184" t="str">
        <f t="shared" si="12"/>
        <v>25-00</v>
      </c>
      <c r="F184">
        <v>5875</v>
      </c>
      <c r="G184" t="s">
        <v>78</v>
      </c>
      <c r="H184" s="3">
        <v>1.0330208333333333</v>
      </c>
      <c r="I184" s="3">
        <v>1.0338657407407408</v>
      </c>
      <c r="J184" s="2">
        <v>8.449074074074075E-4</v>
      </c>
      <c r="L184" t="s">
        <v>26</v>
      </c>
      <c r="M184" t="s">
        <v>24</v>
      </c>
      <c r="N184" t="s">
        <v>27</v>
      </c>
      <c r="O184" t="s">
        <v>28</v>
      </c>
    </row>
    <row r="185" spans="1:15" x14ac:dyDescent="0.25">
      <c r="A185">
        <v>184</v>
      </c>
      <c r="B185" t="s">
        <v>15</v>
      </c>
      <c r="C185" s="1">
        <v>46265</v>
      </c>
      <c r="D185" t="s">
        <v>16</v>
      </c>
      <c r="E185" t="str">
        <f t="shared" si="12"/>
        <v>25-00</v>
      </c>
      <c r="F185">
        <v>1</v>
      </c>
      <c r="G185" t="s">
        <v>22</v>
      </c>
      <c r="H185" s="3">
        <v>1.0338657407407408</v>
      </c>
      <c r="I185" s="3">
        <v>1.034513888888889</v>
      </c>
      <c r="J185" s="2">
        <v>6.4814814814814813E-4</v>
      </c>
      <c r="L185" t="s">
        <v>23</v>
      </c>
      <c r="M185" t="s">
        <v>24</v>
      </c>
      <c r="N185" t="s">
        <v>22</v>
      </c>
    </row>
    <row r="186" spans="1:15" x14ac:dyDescent="0.25">
      <c r="A186">
        <v>185</v>
      </c>
      <c r="B186" t="s">
        <v>15</v>
      </c>
      <c r="C186" s="1">
        <v>46265</v>
      </c>
      <c r="D186" t="s">
        <v>16</v>
      </c>
      <c r="E186" t="str">
        <f t="shared" si="12"/>
        <v>25-00</v>
      </c>
      <c r="F186">
        <v>5454</v>
      </c>
      <c r="G186" t="s">
        <v>65</v>
      </c>
      <c r="H186" s="3">
        <v>1.034513888888889</v>
      </c>
      <c r="I186" s="3">
        <v>1.0347685185185185</v>
      </c>
      <c r="J186" s="2">
        <v>2.5462962962962961E-4</v>
      </c>
      <c r="L186" t="s">
        <v>26</v>
      </c>
      <c r="M186" t="s">
        <v>24</v>
      </c>
      <c r="N186" t="s">
        <v>27</v>
      </c>
      <c r="O186" t="s">
        <v>28</v>
      </c>
    </row>
    <row r="187" spans="1:15" x14ac:dyDescent="0.25">
      <c r="A187">
        <v>186</v>
      </c>
      <c r="B187" t="s">
        <v>15</v>
      </c>
      <c r="C187" s="1">
        <v>46265</v>
      </c>
      <c r="D187" t="s">
        <v>16</v>
      </c>
      <c r="E187" t="str">
        <f t="shared" si="12"/>
        <v>25-00</v>
      </c>
      <c r="F187">
        <v>5700</v>
      </c>
      <c r="G187" t="s">
        <v>67</v>
      </c>
      <c r="H187" s="3">
        <v>1.0347685185185185</v>
      </c>
      <c r="I187" s="3">
        <v>1.0362037037037037</v>
      </c>
      <c r="J187" s="2">
        <v>1.4351851851851854E-3</v>
      </c>
      <c r="L187" t="s">
        <v>26</v>
      </c>
      <c r="M187" t="s">
        <v>24</v>
      </c>
      <c r="N187" t="s">
        <v>27</v>
      </c>
      <c r="O187" t="s">
        <v>28</v>
      </c>
    </row>
    <row r="188" spans="1:15" x14ac:dyDescent="0.25">
      <c r="A188">
        <v>187</v>
      </c>
      <c r="B188" t="s">
        <v>15</v>
      </c>
      <c r="C188" s="1">
        <v>46265</v>
      </c>
      <c r="D188" t="s">
        <v>16</v>
      </c>
      <c r="E188" t="str">
        <f t="shared" si="12"/>
        <v>25-00</v>
      </c>
      <c r="F188">
        <v>1</v>
      </c>
      <c r="G188" t="s">
        <v>22</v>
      </c>
      <c r="H188" s="3">
        <v>1.0362037037037037</v>
      </c>
      <c r="I188" s="3">
        <v>1.0363078703703703</v>
      </c>
      <c r="J188" s="2">
        <v>1.0416666666666667E-4</v>
      </c>
      <c r="L188" t="s">
        <v>23</v>
      </c>
      <c r="M188" t="s">
        <v>24</v>
      </c>
      <c r="N188" t="s">
        <v>22</v>
      </c>
    </row>
    <row r="189" spans="1:15" x14ac:dyDescent="0.25">
      <c r="A189">
        <v>188</v>
      </c>
      <c r="B189" t="s">
        <v>15</v>
      </c>
      <c r="C189" s="1">
        <v>46265</v>
      </c>
      <c r="D189" t="s">
        <v>16</v>
      </c>
      <c r="E189" t="str">
        <f t="shared" si="12"/>
        <v>25-00</v>
      </c>
      <c r="F189">
        <v>5898</v>
      </c>
      <c r="G189" t="str">
        <f>"SOIREE DU FESTIVAL DE FES DES MUSIQUES SACREES DU MONDE 2025 -INEDIT-"</f>
        <v>SOIREE DU FESTIVAL DE FES DES MUSIQUES SACREES DU MONDE 2025 -INEDIT-</v>
      </c>
      <c r="H189" s="3">
        <v>1.0363078703703703</v>
      </c>
      <c r="I189" s="3">
        <v>1.0872800925925927</v>
      </c>
      <c r="J189" s="2">
        <v>5.0972222222222224E-2</v>
      </c>
      <c r="K189" t="s">
        <v>36</v>
      </c>
      <c r="L189" t="s">
        <v>101</v>
      </c>
      <c r="M189" t="s">
        <v>102</v>
      </c>
      <c r="N189" t="s">
        <v>103</v>
      </c>
      <c r="O189" t="s">
        <v>104</v>
      </c>
    </row>
    <row r="190" spans="1:15" x14ac:dyDescent="0.25">
      <c r="A190">
        <v>189</v>
      </c>
      <c r="B190" t="s">
        <v>15</v>
      </c>
      <c r="C190" s="1">
        <v>46265</v>
      </c>
      <c r="D190" t="s">
        <v>16</v>
      </c>
      <c r="E190" t="str">
        <f t="shared" si="12"/>
        <v>25-00</v>
      </c>
      <c r="F190">
        <v>1</v>
      </c>
      <c r="G190" t="s">
        <v>22</v>
      </c>
      <c r="H190" s="3">
        <v>1.0872800925925927</v>
      </c>
      <c r="I190" s="3">
        <v>1.0877546296296297</v>
      </c>
      <c r="J190" s="2">
        <v>4.7453703703703704E-4</v>
      </c>
      <c r="L190" t="s">
        <v>23</v>
      </c>
      <c r="M190" t="s">
        <v>24</v>
      </c>
      <c r="N190" t="s">
        <v>22</v>
      </c>
    </row>
    <row r="191" spans="1:15" x14ac:dyDescent="0.25">
      <c r="A191">
        <v>190</v>
      </c>
      <c r="B191" t="s">
        <v>15</v>
      </c>
      <c r="C191" s="1">
        <v>46265</v>
      </c>
      <c r="D191" t="s">
        <v>16</v>
      </c>
      <c r="E191" t="str">
        <f t="shared" si="12"/>
        <v>25-00</v>
      </c>
      <c r="F191">
        <v>5893</v>
      </c>
      <c r="G191" t="str">
        <f>"HADA WAQTNA : LEGISLATIVES 2026"</f>
        <v>HADA WAQTNA : LEGISLATIVES 2026</v>
      </c>
      <c r="H191" s="3">
        <v>1.0877546296296297</v>
      </c>
      <c r="I191" s="3">
        <v>1.0893634259259259</v>
      </c>
      <c r="J191" s="2">
        <v>1.6087962962962963E-3</v>
      </c>
      <c r="L191" t="s">
        <v>26</v>
      </c>
      <c r="M191" t="s">
        <v>24</v>
      </c>
      <c r="N191" t="s">
        <v>27</v>
      </c>
      <c r="O191" t="s">
        <v>28</v>
      </c>
    </row>
    <row r="192" spans="1:15" x14ac:dyDescent="0.25">
      <c r="A192">
        <v>191</v>
      </c>
      <c r="B192" t="s">
        <v>15</v>
      </c>
      <c r="C192" s="1">
        <v>46265</v>
      </c>
      <c r="D192" t="s">
        <v>16</v>
      </c>
      <c r="E192" t="str">
        <f t="shared" si="12"/>
        <v>25-00</v>
      </c>
      <c r="F192">
        <v>1</v>
      </c>
      <c r="G192" t="s">
        <v>22</v>
      </c>
      <c r="H192" s="3">
        <v>1.0893634259259259</v>
      </c>
      <c r="I192" s="3">
        <v>1.0894560185185185</v>
      </c>
      <c r="J192" s="2">
        <v>9.2592592592592588E-5</v>
      </c>
      <c r="L192" t="s">
        <v>23</v>
      </c>
      <c r="M192" t="s">
        <v>24</v>
      </c>
      <c r="N192" t="s">
        <v>22</v>
      </c>
    </row>
    <row r="193" spans="1:15" x14ac:dyDescent="0.25">
      <c r="A193">
        <v>192</v>
      </c>
      <c r="B193" t="s">
        <v>15</v>
      </c>
      <c r="C193" s="1">
        <v>46265</v>
      </c>
      <c r="D193" t="s">
        <v>16</v>
      </c>
      <c r="E193" t="str">
        <f t="shared" si="12"/>
        <v>25-00</v>
      </c>
      <c r="F193">
        <v>5081</v>
      </c>
      <c r="G193" t="s">
        <v>92</v>
      </c>
      <c r="H193" s="3">
        <v>1.0894560185185185</v>
      </c>
      <c r="I193" s="3">
        <v>1.1102893518518517</v>
      </c>
      <c r="J193" s="2">
        <v>2.0833333333333332E-2</v>
      </c>
      <c r="K193" t="str">
        <f>"EPISODE 29 (REDIFFUSION)"</f>
        <v>EPISODE 29 (REDIFFUSION)</v>
      </c>
      <c r="L193" t="s">
        <v>30</v>
      </c>
      <c r="M193" t="s">
        <v>31</v>
      </c>
      <c r="N193" t="s">
        <v>32</v>
      </c>
      <c r="O193" t="s">
        <v>33</v>
      </c>
    </row>
    <row r="194" spans="1:15" x14ac:dyDescent="0.25">
      <c r="A194">
        <v>193</v>
      </c>
      <c r="B194" t="s">
        <v>15</v>
      </c>
      <c r="C194" s="1">
        <v>46265</v>
      </c>
      <c r="D194" t="s">
        <v>16</v>
      </c>
      <c r="E194" t="str">
        <f t="shared" si="12"/>
        <v>25-00</v>
      </c>
      <c r="F194">
        <v>1</v>
      </c>
      <c r="G194" t="s">
        <v>22</v>
      </c>
      <c r="H194" s="3">
        <v>1.1102893518518517</v>
      </c>
      <c r="I194" s="3">
        <v>1.1110879629629629</v>
      </c>
      <c r="J194" s="2">
        <v>7.9861111111111105E-4</v>
      </c>
      <c r="L194" t="s">
        <v>23</v>
      </c>
      <c r="M194" t="s">
        <v>24</v>
      </c>
      <c r="N194" t="s">
        <v>22</v>
      </c>
    </row>
    <row r="195" spans="1:15" x14ac:dyDescent="0.25">
      <c r="A195">
        <v>194</v>
      </c>
      <c r="B195" t="s">
        <v>15</v>
      </c>
      <c r="C195" s="1">
        <v>46265</v>
      </c>
      <c r="D195" t="s">
        <v>16</v>
      </c>
      <c r="E195" t="str">
        <f t="shared" si="12"/>
        <v>25-00</v>
      </c>
      <c r="F195">
        <v>5893</v>
      </c>
      <c r="G195" t="str">
        <f>"HADA WAQTNA : LEGISLATIVES 2026"</f>
        <v>HADA WAQTNA : LEGISLATIVES 2026</v>
      </c>
      <c r="H195" s="3">
        <v>1.1110879629629629</v>
      </c>
      <c r="I195" s="3">
        <v>1.1128472222222221</v>
      </c>
      <c r="J195" s="2">
        <v>1.7592592592592592E-3</v>
      </c>
      <c r="L195" t="s">
        <v>26</v>
      </c>
      <c r="M195" t="s">
        <v>24</v>
      </c>
      <c r="N195" t="s">
        <v>27</v>
      </c>
      <c r="O195" t="s">
        <v>28</v>
      </c>
    </row>
    <row r="196" spans="1:15" x14ac:dyDescent="0.25">
      <c r="A196">
        <v>195</v>
      </c>
      <c r="B196" t="s">
        <v>15</v>
      </c>
      <c r="C196" s="1">
        <v>46265</v>
      </c>
      <c r="D196" t="s">
        <v>16</v>
      </c>
      <c r="E196" t="str">
        <f t="shared" si="12"/>
        <v>25-00</v>
      </c>
      <c r="F196">
        <v>1</v>
      </c>
      <c r="G196" t="s">
        <v>22</v>
      </c>
      <c r="H196" s="3">
        <v>1.1128472222222221</v>
      </c>
      <c r="I196" s="3">
        <v>1.1129513888888889</v>
      </c>
      <c r="J196" s="2">
        <v>1.0416666666666667E-4</v>
      </c>
      <c r="L196" t="s">
        <v>23</v>
      </c>
      <c r="M196" t="s">
        <v>24</v>
      </c>
      <c r="N196" t="s">
        <v>22</v>
      </c>
    </row>
    <row r="197" spans="1:15" x14ac:dyDescent="0.25">
      <c r="A197">
        <v>196</v>
      </c>
      <c r="B197" t="s">
        <v>15</v>
      </c>
      <c r="C197" s="1">
        <v>46265</v>
      </c>
      <c r="D197" t="s">
        <v>16</v>
      </c>
      <c r="E197" t="str">
        <f t="shared" si="12"/>
        <v>25-00</v>
      </c>
      <c r="F197">
        <v>5085</v>
      </c>
      <c r="G197" t="s">
        <v>109</v>
      </c>
      <c r="H197" s="3">
        <v>1.1129513888888889</v>
      </c>
      <c r="I197" s="3">
        <v>1.125</v>
      </c>
      <c r="J197" s="2">
        <v>1.2048611111111112E-2</v>
      </c>
      <c r="K197" t="str">
        <f>"EPISODE 18 (REDIFFUSION)"</f>
        <v>EPISODE 18 (REDIFFUSION)</v>
      </c>
      <c r="L197" t="s">
        <v>110</v>
      </c>
      <c r="M197" t="s">
        <v>31</v>
      </c>
      <c r="N197" t="s">
        <v>111</v>
      </c>
      <c r="O197" t="s">
        <v>33</v>
      </c>
    </row>
    <row r="198" spans="1:15" x14ac:dyDescent="0.25">
      <c r="A198">
        <v>197</v>
      </c>
      <c r="B198" t="s">
        <v>130</v>
      </c>
      <c r="C198" s="1">
        <v>46265</v>
      </c>
      <c r="D198" t="s">
        <v>16</v>
      </c>
      <c r="E198">
        <v>555</v>
      </c>
      <c r="F198">
        <v>5521</v>
      </c>
      <c r="G198" t="s">
        <v>131</v>
      </c>
      <c r="H198" s="2">
        <v>0.125</v>
      </c>
      <c r="I198" s="2">
        <v>0.14069444444444446</v>
      </c>
      <c r="J198" s="2">
        <v>1.5694444444444445E-2</v>
      </c>
      <c r="K198" t="str">
        <f>"EPISODE 25 (REDIFFUSION)(SUITE 3H)"</f>
        <v>EPISODE 25 (REDIFFUSION)(SUITE 3H)</v>
      </c>
      <c r="L198" t="s">
        <v>110</v>
      </c>
      <c r="M198" t="s">
        <v>31</v>
      </c>
      <c r="N198" t="s">
        <v>111</v>
      </c>
      <c r="O198" t="s">
        <v>33</v>
      </c>
    </row>
    <row r="199" spans="1:15" x14ac:dyDescent="0.25">
      <c r="A199">
        <v>198</v>
      </c>
      <c r="B199" t="s">
        <v>130</v>
      </c>
      <c r="C199" s="1">
        <v>46265</v>
      </c>
      <c r="D199" t="s">
        <v>16</v>
      </c>
      <c r="E199">
        <v>555</v>
      </c>
      <c r="F199">
        <v>1</v>
      </c>
      <c r="G199" t="s">
        <v>22</v>
      </c>
      <c r="H199" s="2">
        <v>0.14069444444444446</v>
      </c>
      <c r="I199" s="2">
        <v>0.14121527777777779</v>
      </c>
      <c r="J199" s="2">
        <v>5.2083333333333333E-4</v>
      </c>
      <c r="L199" t="s">
        <v>23</v>
      </c>
      <c r="M199" t="s">
        <v>24</v>
      </c>
      <c r="N199" t="s">
        <v>22</v>
      </c>
    </row>
    <row r="200" spans="1:15" x14ac:dyDescent="0.25">
      <c r="A200">
        <v>199</v>
      </c>
      <c r="B200" t="s">
        <v>130</v>
      </c>
      <c r="C200" s="1">
        <v>46265</v>
      </c>
      <c r="D200" t="s">
        <v>16</v>
      </c>
      <c r="E200">
        <v>555</v>
      </c>
      <c r="F200">
        <v>5081</v>
      </c>
      <c r="G200" t="s">
        <v>132</v>
      </c>
      <c r="H200" s="2">
        <v>0.14121527777777779</v>
      </c>
      <c r="I200" s="2">
        <v>0.2065740740740741</v>
      </c>
      <c r="J200" s="2">
        <v>6.5358796296296304E-2</v>
      </c>
      <c r="K200" t="str">
        <f>"PRIME 8 (REDIFFUSION)"</f>
        <v>PRIME 8 (REDIFFUSION)</v>
      </c>
      <c r="L200" t="s">
        <v>133</v>
      </c>
      <c r="M200" t="s">
        <v>134</v>
      </c>
      <c r="N200" t="s">
        <v>135</v>
      </c>
      <c r="O200" t="s">
        <v>136</v>
      </c>
    </row>
    <row r="201" spans="1:15" x14ac:dyDescent="0.25">
      <c r="A201">
        <v>200</v>
      </c>
      <c r="B201" t="s">
        <v>130</v>
      </c>
      <c r="C201" s="1">
        <v>46265</v>
      </c>
      <c r="D201" t="s">
        <v>16</v>
      </c>
      <c r="E201">
        <v>555</v>
      </c>
      <c r="F201">
        <v>5584</v>
      </c>
      <c r="G201" t="s">
        <v>137</v>
      </c>
      <c r="H201" s="2">
        <v>0.2065740740740741</v>
      </c>
      <c r="I201" s="2">
        <v>0.20899305555555556</v>
      </c>
      <c r="J201" s="2">
        <v>2.4189814814814816E-3</v>
      </c>
      <c r="K201" t="s">
        <v>138</v>
      </c>
      <c r="L201" t="s">
        <v>80</v>
      </c>
      <c r="M201" t="s">
        <v>31</v>
      </c>
      <c r="N201" t="s">
        <v>32</v>
      </c>
      <c r="O201" t="s">
        <v>81</v>
      </c>
    </row>
    <row r="202" spans="1:15" x14ac:dyDescent="0.25">
      <c r="A202">
        <v>201</v>
      </c>
      <c r="B202" t="s">
        <v>130</v>
      </c>
      <c r="C202" s="1">
        <v>46265</v>
      </c>
      <c r="D202" t="s">
        <v>16</v>
      </c>
      <c r="E202">
        <v>555</v>
      </c>
      <c r="F202">
        <v>5584</v>
      </c>
      <c r="G202" t="s">
        <v>137</v>
      </c>
      <c r="H202" s="2">
        <v>0.20899305555555556</v>
      </c>
      <c r="I202" s="2">
        <v>0.21217592592592593</v>
      </c>
      <c r="J202" s="2">
        <v>3.1828703703703702E-3</v>
      </c>
      <c r="K202" t="str">
        <f>"MOU3ALLIQINE"</f>
        <v>MOU3ALLIQINE</v>
      </c>
      <c r="L202" t="s">
        <v>80</v>
      </c>
      <c r="M202" t="s">
        <v>31</v>
      </c>
      <c r="N202" t="s">
        <v>32</v>
      </c>
      <c r="O202" t="s">
        <v>81</v>
      </c>
    </row>
    <row r="203" spans="1:15" x14ac:dyDescent="0.25">
      <c r="A203">
        <v>202</v>
      </c>
      <c r="B203" t="s">
        <v>130</v>
      </c>
      <c r="C203" s="1">
        <v>46265</v>
      </c>
      <c r="D203" t="s">
        <v>16</v>
      </c>
      <c r="E203">
        <v>555</v>
      </c>
      <c r="F203">
        <v>1</v>
      </c>
      <c r="G203" t="s">
        <v>22</v>
      </c>
      <c r="H203" s="2">
        <v>0.21217592592592593</v>
      </c>
      <c r="I203" s="2">
        <v>0.21270833333333336</v>
      </c>
      <c r="J203" s="2">
        <v>5.3240740740740744E-4</v>
      </c>
      <c r="L203" t="s">
        <v>23</v>
      </c>
      <c r="M203" t="s">
        <v>24</v>
      </c>
      <c r="N203" t="s">
        <v>22</v>
      </c>
    </row>
    <row r="204" spans="1:15" x14ac:dyDescent="0.25">
      <c r="A204">
        <v>203</v>
      </c>
      <c r="B204" t="s">
        <v>130</v>
      </c>
      <c r="C204" s="1">
        <v>46265</v>
      </c>
      <c r="D204" t="s">
        <v>16</v>
      </c>
      <c r="E204">
        <v>555</v>
      </c>
      <c r="F204">
        <v>5737</v>
      </c>
      <c r="G204" t="str">
        <f>"ANDALOUSSIYAT 2025"</f>
        <v>ANDALOUSSIYAT 2025</v>
      </c>
      <c r="H204" s="2">
        <v>0.21270833333333336</v>
      </c>
      <c r="I204" s="2">
        <v>0.24887731481481482</v>
      </c>
      <c r="J204" s="2">
        <v>3.6168981481481483E-2</v>
      </c>
      <c r="L204" t="s">
        <v>101</v>
      </c>
      <c r="M204" t="s">
        <v>102</v>
      </c>
      <c r="N204" t="s">
        <v>103</v>
      </c>
      <c r="O204" t="s">
        <v>104</v>
      </c>
    </row>
    <row r="205" spans="1:15" x14ac:dyDescent="0.25">
      <c r="A205">
        <v>204</v>
      </c>
      <c r="B205" t="s">
        <v>130</v>
      </c>
      <c r="C205" s="1">
        <v>46265</v>
      </c>
      <c r="D205" t="s">
        <v>16</v>
      </c>
      <c r="E205">
        <v>555</v>
      </c>
      <c r="F205">
        <v>5737</v>
      </c>
      <c r="G205" t="str">
        <f>"     ANDALOUSSIYAT 2025 (DEBUT)"</f>
        <v xml:space="preserve">     ANDALOUSSIYAT 2025 (DEBUT)</v>
      </c>
      <c r="H205" s="2">
        <v>0.21270833333333336</v>
      </c>
      <c r="I205" s="2">
        <v>0.22635416666666666</v>
      </c>
      <c r="J205" s="2">
        <v>1.3645833333333331E-2</v>
      </c>
      <c r="L205" t="s">
        <v>101</v>
      </c>
      <c r="M205" t="s">
        <v>102</v>
      </c>
      <c r="N205" t="s">
        <v>103</v>
      </c>
      <c r="O205" t="s">
        <v>104</v>
      </c>
    </row>
    <row r="206" spans="1:15" x14ac:dyDescent="0.25">
      <c r="A206">
        <v>205</v>
      </c>
      <c r="B206" t="s">
        <v>130</v>
      </c>
      <c r="C206" s="1">
        <v>46265</v>
      </c>
      <c r="D206" t="s">
        <v>16</v>
      </c>
      <c r="E206">
        <v>555</v>
      </c>
      <c r="F206">
        <v>1</v>
      </c>
      <c r="G206" t="s">
        <v>44</v>
      </c>
      <c r="H206" s="2">
        <v>0.22635416666666666</v>
      </c>
      <c r="I206" s="2">
        <v>0.22716435185185183</v>
      </c>
      <c r="J206" s="2">
        <v>8.1018518518518516E-4</v>
      </c>
      <c r="L206" t="s">
        <v>23</v>
      </c>
      <c r="M206" t="s">
        <v>24</v>
      </c>
      <c r="N206" t="s">
        <v>22</v>
      </c>
    </row>
    <row r="207" spans="1:15" x14ac:dyDescent="0.25">
      <c r="A207">
        <v>206</v>
      </c>
      <c r="B207" t="s">
        <v>130</v>
      </c>
      <c r="C207" s="1">
        <v>46265</v>
      </c>
      <c r="D207" t="s">
        <v>16</v>
      </c>
      <c r="E207">
        <v>555</v>
      </c>
      <c r="F207">
        <v>826</v>
      </c>
      <c r="G207" t="s">
        <v>45</v>
      </c>
      <c r="H207" s="2">
        <v>0.22716435185185183</v>
      </c>
      <c r="I207" s="2">
        <v>0.22863425925925926</v>
      </c>
      <c r="J207" s="2">
        <v>1.4699074074074074E-3</v>
      </c>
      <c r="L207" t="s">
        <v>46</v>
      </c>
      <c r="M207" t="s">
        <v>47</v>
      </c>
      <c r="N207" t="s">
        <v>48</v>
      </c>
    </row>
    <row r="208" spans="1:15" x14ac:dyDescent="0.25">
      <c r="A208">
        <v>207</v>
      </c>
      <c r="B208" t="s">
        <v>130</v>
      </c>
      <c r="C208" s="1">
        <v>46265</v>
      </c>
      <c r="D208" t="s">
        <v>16</v>
      </c>
      <c r="E208">
        <v>555</v>
      </c>
      <c r="F208">
        <v>1</v>
      </c>
      <c r="G208" t="s">
        <v>44</v>
      </c>
      <c r="H208" s="2">
        <v>0.22863425925925926</v>
      </c>
      <c r="I208" s="2">
        <v>0.22870370370370371</v>
      </c>
      <c r="J208" s="2">
        <v>6.9444444444444444E-5</v>
      </c>
      <c r="L208" t="s">
        <v>23</v>
      </c>
      <c r="M208" t="s">
        <v>24</v>
      </c>
      <c r="N208" t="s">
        <v>22</v>
      </c>
    </row>
    <row r="209" spans="1:15" x14ac:dyDescent="0.25">
      <c r="A209">
        <v>208</v>
      </c>
      <c r="B209" t="s">
        <v>130</v>
      </c>
      <c r="C209" s="1">
        <v>46265</v>
      </c>
      <c r="D209" t="s">
        <v>16</v>
      </c>
      <c r="E209">
        <v>555</v>
      </c>
      <c r="F209">
        <v>5737</v>
      </c>
      <c r="G209" t="str">
        <f>"     ANDALOUSSIYAT 2025 (SUITE)"</f>
        <v xml:space="preserve">     ANDALOUSSIYAT 2025 (SUITE)</v>
      </c>
      <c r="H209" s="2">
        <v>0.22870370370370371</v>
      </c>
      <c r="I209" s="2">
        <v>0.24887731481481482</v>
      </c>
      <c r="J209" s="2">
        <v>2.0173611111111111E-2</v>
      </c>
      <c r="L209" t="s">
        <v>101</v>
      </c>
      <c r="M209" t="s">
        <v>102</v>
      </c>
      <c r="N209" t="s">
        <v>103</v>
      </c>
      <c r="O209" t="s">
        <v>104</v>
      </c>
    </row>
    <row r="210" spans="1:15" x14ac:dyDescent="0.25">
      <c r="A210">
        <v>209</v>
      </c>
      <c r="B210" t="s">
        <v>130</v>
      </c>
      <c r="C210" s="1">
        <v>46265</v>
      </c>
      <c r="D210" t="s">
        <v>16</v>
      </c>
      <c r="E210">
        <v>555</v>
      </c>
      <c r="F210">
        <v>4</v>
      </c>
      <c r="G210" t="s">
        <v>57</v>
      </c>
      <c r="H210" s="2">
        <v>0.24887731481481482</v>
      </c>
      <c r="I210" s="2">
        <v>0.25309027777777776</v>
      </c>
      <c r="J210" s="2">
        <v>4.2129629629629626E-3</v>
      </c>
      <c r="L210" t="s">
        <v>58</v>
      </c>
      <c r="M210" t="s">
        <v>47</v>
      </c>
      <c r="N210" t="s">
        <v>57</v>
      </c>
    </row>
    <row r="211" spans="1:15" x14ac:dyDescent="0.25">
      <c r="A211">
        <v>210</v>
      </c>
      <c r="B211" t="s">
        <v>130</v>
      </c>
      <c r="C211" s="1">
        <v>46265</v>
      </c>
      <c r="D211" t="s">
        <v>16</v>
      </c>
      <c r="E211">
        <v>555</v>
      </c>
      <c r="F211">
        <v>5</v>
      </c>
      <c r="G211" t="s">
        <v>54</v>
      </c>
      <c r="H211" s="2">
        <v>0.25309027777777776</v>
      </c>
      <c r="I211" s="2">
        <v>0.25385416666666666</v>
      </c>
      <c r="J211" s="2">
        <v>7.6388888888888893E-4</v>
      </c>
      <c r="L211" t="s">
        <v>55</v>
      </c>
      <c r="M211" t="s">
        <v>56</v>
      </c>
    </row>
    <row r="212" spans="1:15" x14ac:dyDescent="0.25">
      <c r="A212">
        <v>211</v>
      </c>
      <c r="B212" t="s">
        <v>130</v>
      </c>
      <c r="C212" s="1">
        <v>46265</v>
      </c>
      <c r="D212" t="s">
        <v>16</v>
      </c>
      <c r="E212">
        <v>555</v>
      </c>
      <c r="F212">
        <v>146</v>
      </c>
      <c r="G212" t="s">
        <v>139</v>
      </c>
      <c r="H212" s="2">
        <v>0.25385416666666666</v>
      </c>
      <c r="I212" s="2">
        <v>0.27410879629629631</v>
      </c>
      <c r="J212" s="2">
        <v>2.0254629629629629E-2</v>
      </c>
      <c r="L212" t="s">
        <v>140</v>
      </c>
      <c r="M212" t="s">
        <v>19</v>
      </c>
      <c r="N212" t="s">
        <v>20</v>
      </c>
      <c r="O212" t="s">
        <v>141</v>
      </c>
    </row>
    <row r="213" spans="1:15" x14ac:dyDescent="0.25">
      <c r="A213">
        <v>212</v>
      </c>
      <c r="B213" t="s">
        <v>130</v>
      </c>
      <c r="C213" s="1">
        <v>46265</v>
      </c>
      <c r="D213" t="s">
        <v>16</v>
      </c>
      <c r="E213">
        <v>630</v>
      </c>
      <c r="F213">
        <v>2814</v>
      </c>
      <c r="G213" t="str">
        <f>"SABAHIYAT 2M"</f>
        <v>SABAHIYAT 2M</v>
      </c>
      <c r="H213" s="2">
        <v>0.27410879629629631</v>
      </c>
      <c r="I213" s="2">
        <v>0.31475694444444446</v>
      </c>
      <c r="J213" s="2">
        <v>4.0648148148148149E-2</v>
      </c>
      <c r="K213" t="s">
        <v>36</v>
      </c>
      <c r="L213" t="s">
        <v>76</v>
      </c>
      <c r="M213" t="s">
        <v>19</v>
      </c>
      <c r="N213" t="s">
        <v>20</v>
      </c>
      <c r="O213" t="s">
        <v>77</v>
      </c>
    </row>
    <row r="214" spans="1:15" x14ac:dyDescent="0.25">
      <c r="A214">
        <v>213</v>
      </c>
      <c r="B214" t="s">
        <v>130</v>
      </c>
      <c r="C214" s="1">
        <v>46265</v>
      </c>
      <c r="D214" t="s">
        <v>16</v>
      </c>
      <c r="E214">
        <v>730</v>
      </c>
      <c r="F214">
        <v>3701</v>
      </c>
      <c r="G214" t="s">
        <v>142</v>
      </c>
      <c r="H214" s="2">
        <v>0.31475694444444446</v>
      </c>
      <c r="I214" s="2">
        <v>0.32425925925925925</v>
      </c>
      <c r="J214" s="2">
        <v>9.5023148148148159E-3</v>
      </c>
      <c r="L214" t="s">
        <v>99</v>
      </c>
      <c r="M214" t="s">
        <v>19</v>
      </c>
      <c r="N214" t="s">
        <v>20</v>
      </c>
      <c r="O214" t="s">
        <v>100</v>
      </c>
    </row>
    <row r="215" spans="1:15" x14ac:dyDescent="0.25">
      <c r="A215">
        <v>214</v>
      </c>
      <c r="B215" t="s">
        <v>130</v>
      </c>
      <c r="C215" s="1">
        <v>46265</v>
      </c>
      <c r="D215" t="s">
        <v>16</v>
      </c>
      <c r="E215">
        <v>745</v>
      </c>
      <c r="F215">
        <v>5693</v>
      </c>
      <c r="G215" t="s">
        <v>143</v>
      </c>
      <c r="H215" s="2">
        <v>0.32425925925925925</v>
      </c>
      <c r="I215" s="2">
        <v>0.33748842592592593</v>
      </c>
      <c r="J215" s="2">
        <v>1.3229166666666667E-2</v>
      </c>
      <c r="K215" t="s">
        <v>36</v>
      </c>
      <c r="L215" t="s">
        <v>144</v>
      </c>
      <c r="M215" t="s">
        <v>19</v>
      </c>
      <c r="N215" t="s">
        <v>42</v>
      </c>
      <c r="O215" t="s">
        <v>145</v>
      </c>
    </row>
    <row r="216" spans="1:15" x14ac:dyDescent="0.25">
      <c r="A216">
        <v>215</v>
      </c>
      <c r="B216" t="s">
        <v>130</v>
      </c>
      <c r="C216" s="1">
        <v>46265</v>
      </c>
      <c r="D216" t="s">
        <v>16</v>
      </c>
      <c r="E216">
        <v>745</v>
      </c>
      <c r="F216">
        <v>5694</v>
      </c>
      <c r="G216" t="s">
        <v>146</v>
      </c>
      <c r="H216" s="2">
        <v>0.33748842592592593</v>
      </c>
      <c r="I216" s="2">
        <v>0.35309027777777779</v>
      </c>
      <c r="J216" s="2">
        <v>1.5601851851851851E-2</v>
      </c>
      <c r="K216" t="s">
        <v>36</v>
      </c>
      <c r="L216" t="s">
        <v>147</v>
      </c>
      <c r="M216" t="s">
        <v>19</v>
      </c>
      <c r="N216" t="s">
        <v>42</v>
      </c>
      <c r="O216" t="s">
        <v>148</v>
      </c>
    </row>
    <row r="217" spans="1:15" x14ac:dyDescent="0.25">
      <c r="A217">
        <v>216</v>
      </c>
      <c r="B217" t="s">
        <v>130</v>
      </c>
      <c r="C217" s="1">
        <v>46265</v>
      </c>
      <c r="D217" t="s">
        <v>16</v>
      </c>
      <c r="E217">
        <v>815</v>
      </c>
      <c r="F217">
        <v>1</v>
      </c>
      <c r="G217" t="s">
        <v>22</v>
      </c>
      <c r="H217" s="2">
        <v>0.35309027777777779</v>
      </c>
      <c r="I217" s="2">
        <v>0.35387731481481483</v>
      </c>
      <c r="J217" s="2">
        <v>7.8703703703703705E-4</v>
      </c>
      <c r="L217" t="s">
        <v>23</v>
      </c>
      <c r="M217" t="s">
        <v>24</v>
      </c>
      <c r="N217" t="s">
        <v>22</v>
      </c>
    </row>
    <row r="218" spans="1:15" x14ac:dyDescent="0.25">
      <c r="A218">
        <v>217</v>
      </c>
      <c r="B218" t="s">
        <v>130</v>
      </c>
      <c r="C218" s="1">
        <v>46265</v>
      </c>
      <c r="D218" t="s">
        <v>16</v>
      </c>
      <c r="E218">
        <v>815</v>
      </c>
      <c r="F218">
        <v>4989</v>
      </c>
      <c r="G218" t="s">
        <v>149</v>
      </c>
      <c r="H218" s="2">
        <v>0.35387731481481483</v>
      </c>
      <c r="I218" s="2">
        <v>0.37296296296296294</v>
      </c>
      <c r="J218" s="2">
        <v>1.9085648148148147E-2</v>
      </c>
      <c r="K218" t="s">
        <v>36</v>
      </c>
      <c r="L218" t="s">
        <v>52</v>
      </c>
      <c r="M218" t="s">
        <v>19</v>
      </c>
      <c r="N218" t="s">
        <v>42</v>
      </c>
      <c r="O218" t="s">
        <v>53</v>
      </c>
    </row>
    <row r="219" spans="1:15" x14ac:dyDescent="0.25">
      <c r="A219">
        <v>218</v>
      </c>
      <c r="B219" t="s">
        <v>130</v>
      </c>
      <c r="C219" s="1">
        <v>46265</v>
      </c>
      <c r="D219" t="s">
        <v>16</v>
      </c>
      <c r="E219">
        <v>815</v>
      </c>
      <c r="F219">
        <v>1</v>
      </c>
      <c r="G219" t="s">
        <v>22</v>
      </c>
      <c r="H219" s="2">
        <v>0.37296296296296294</v>
      </c>
      <c r="I219" s="2">
        <v>0.3734837962962963</v>
      </c>
      <c r="J219" s="2">
        <v>5.2083333333333333E-4</v>
      </c>
      <c r="L219" t="s">
        <v>23</v>
      </c>
      <c r="M219" t="s">
        <v>24</v>
      </c>
      <c r="N219" t="s">
        <v>22</v>
      </c>
    </row>
    <row r="220" spans="1:15" x14ac:dyDescent="0.25">
      <c r="A220">
        <v>219</v>
      </c>
      <c r="B220" t="s">
        <v>130</v>
      </c>
      <c r="C220" s="1">
        <v>46265</v>
      </c>
      <c r="D220" t="s">
        <v>16</v>
      </c>
      <c r="E220">
        <v>815</v>
      </c>
      <c r="F220">
        <v>3401</v>
      </c>
      <c r="G220" t="s">
        <v>150</v>
      </c>
      <c r="H220" s="2">
        <v>0.3734837962962963</v>
      </c>
      <c r="I220" s="2">
        <v>0.39940972222222221</v>
      </c>
      <c r="J220" s="2">
        <v>2.5925925925925925E-2</v>
      </c>
      <c r="K220" t="str">
        <f>"ABDELWAHAB DOUKKALI (2EME PARTIE) (REDIFFUSION)"</f>
        <v>ABDELWAHAB DOUKKALI (2EME PARTIE) (REDIFFUSION)</v>
      </c>
      <c r="L220" t="s">
        <v>37</v>
      </c>
      <c r="M220" t="s">
        <v>19</v>
      </c>
      <c r="N220" t="s">
        <v>20</v>
      </c>
      <c r="O220" t="s">
        <v>38</v>
      </c>
    </row>
    <row r="221" spans="1:15" x14ac:dyDescent="0.25">
      <c r="A221">
        <v>220</v>
      </c>
      <c r="B221" t="s">
        <v>130</v>
      </c>
      <c r="C221" s="1">
        <v>46265</v>
      </c>
      <c r="D221" t="s">
        <v>16</v>
      </c>
      <c r="E221">
        <v>947</v>
      </c>
      <c r="F221">
        <v>1862</v>
      </c>
      <c r="G221" t="s">
        <v>151</v>
      </c>
      <c r="H221" s="2">
        <v>0.39940972222222221</v>
      </c>
      <c r="I221" s="2">
        <v>0.41729166666666667</v>
      </c>
      <c r="J221" s="2">
        <v>1.7881944444444443E-2</v>
      </c>
      <c r="L221" t="s">
        <v>80</v>
      </c>
      <c r="M221" t="s">
        <v>31</v>
      </c>
      <c r="N221" t="s">
        <v>32</v>
      </c>
      <c r="O221" t="s">
        <v>81</v>
      </c>
    </row>
    <row r="222" spans="1:15" x14ac:dyDescent="0.25">
      <c r="A222">
        <v>221</v>
      </c>
      <c r="B222" t="s">
        <v>130</v>
      </c>
      <c r="C222" s="1">
        <v>46265</v>
      </c>
      <c r="D222" t="s">
        <v>16</v>
      </c>
      <c r="E222">
        <v>1000</v>
      </c>
      <c r="F222">
        <v>4557</v>
      </c>
      <c r="G222" t="s">
        <v>152</v>
      </c>
      <c r="H222" s="2">
        <v>0.41729166666666667</v>
      </c>
      <c r="I222" s="2">
        <v>0.42197916666666663</v>
      </c>
      <c r="J222" s="2">
        <v>4.6874999999999998E-3</v>
      </c>
      <c r="K222" t="s">
        <v>36</v>
      </c>
      <c r="L222" t="s">
        <v>140</v>
      </c>
      <c r="M222" t="s">
        <v>19</v>
      </c>
      <c r="N222" t="s">
        <v>20</v>
      </c>
      <c r="O222" t="s">
        <v>141</v>
      </c>
    </row>
    <row r="223" spans="1:15" x14ac:dyDescent="0.25">
      <c r="A223">
        <v>222</v>
      </c>
      <c r="B223" t="s">
        <v>130</v>
      </c>
      <c r="C223" s="1">
        <v>46265</v>
      </c>
      <c r="D223" t="s">
        <v>16</v>
      </c>
      <c r="E223">
        <v>1000</v>
      </c>
      <c r="F223">
        <v>5631</v>
      </c>
      <c r="G223" t="str">
        <f>"AL AMANA SAISON 2 -TURC"</f>
        <v>AL AMANA SAISON 2 -TURC</v>
      </c>
      <c r="H223" s="2">
        <v>0.42197916666666663</v>
      </c>
      <c r="I223" s="2">
        <v>0.45399305555555558</v>
      </c>
      <c r="J223" s="2">
        <v>3.201388888888889E-2</v>
      </c>
      <c r="L223" t="s">
        <v>110</v>
      </c>
      <c r="M223" t="s">
        <v>31</v>
      </c>
      <c r="N223" t="s">
        <v>111</v>
      </c>
      <c r="O223" t="s">
        <v>33</v>
      </c>
    </row>
    <row r="224" spans="1:15" x14ac:dyDescent="0.25">
      <c r="A224">
        <v>223</v>
      </c>
      <c r="B224" t="s">
        <v>130</v>
      </c>
      <c r="C224" s="1">
        <v>46265</v>
      </c>
      <c r="D224" t="s">
        <v>16</v>
      </c>
      <c r="E224">
        <v>1045</v>
      </c>
      <c r="F224">
        <v>1</v>
      </c>
      <c r="G224" t="s">
        <v>22</v>
      </c>
      <c r="H224" s="2">
        <v>0.45399305555555558</v>
      </c>
      <c r="I224" s="2">
        <v>0.45450231481481485</v>
      </c>
      <c r="J224" s="2">
        <v>5.0925925925925921E-4</v>
      </c>
      <c r="L224" t="s">
        <v>23</v>
      </c>
      <c r="M224" t="s">
        <v>24</v>
      </c>
      <c r="N224" t="s">
        <v>22</v>
      </c>
    </row>
    <row r="225" spans="1:15" x14ac:dyDescent="0.25">
      <c r="A225">
        <v>224</v>
      </c>
      <c r="B225" t="s">
        <v>130</v>
      </c>
      <c r="C225" s="1">
        <v>46265</v>
      </c>
      <c r="D225" t="s">
        <v>16</v>
      </c>
      <c r="E225">
        <v>1045</v>
      </c>
      <c r="F225">
        <v>3701</v>
      </c>
      <c r="G225" t="s">
        <v>142</v>
      </c>
      <c r="H225" s="2">
        <v>0.45450231481481485</v>
      </c>
      <c r="I225" s="2">
        <v>0.46400462962962963</v>
      </c>
      <c r="J225" s="2">
        <v>9.5023148148148159E-3</v>
      </c>
      <c r="K225" t="s">
        <v>36</v>
      </c>
      <c r="L225" t="s">
        <v>99</v>
      </c>
      <c r="M225" t="s">
        <v>19</v>
      </c>
      <c r="N225" t="s">
        <v>20</v>
      </c>
      <c r="O225" t="s">
        <v>100</v>
      </c>
    </row>
    <row r="226" spans="1:15" x14ac:dyDescent="0.25">
      <c r="A226">
        <v>225</v>
      </c>
      <c r="B226" t="s">
        <v>130</v>
      </c>
      <c r="C226" s="1">
        <v>46265</v>
      </c>
      <c r="D226" t="s">
        <v>16</v>
      </c>
      <c r="E226">
        <v>1055</v>
      </c>
      <c r="F226">
        <v>5683</v>
      </c>
      <c r="G226" t="str">
        <f>"HADA WAQTNA:LEGISLATIVES 2026"</f>
        <v>HADA WAQTNA:LEGISLATIVES 2026</v>
      </c>
      <c r="H226" s="2">
        <v>0.46400462962962963</v>
      </c>
      <c r="I226" s="2">
        <v>0.46560185185185188</v>
      </c>
      <c r="J226" s="2">
        <v>1.5972222222222221E-3</v>
      </c>
      <c r="L226" t="s">
        <v>26</v>
      </c>
      <c r="M226" t="s">
        <v>24</v>
      </c>
      <c r="N226" t="s">
        <v>27</v>
      </c>
      <c r="O226" t="s">
        <v>28</v>
      </c>
    </row>
    <row r="227" spans="1:15" x14ac:dyDescent="0.25">
      <c r="A227">
        <v>226</v>
      </c>
      <c r="B227" t="s">
        <v>130</v>
      </c>
      <c r="C227" s="1">
        <v>46265</v>
      </c>
      <c r="D227" t="s">
        <v>16</v>
      </c>
      <c r="E227">
        <v>1055</v>
      </c>
      <c r="F227">
        <v>2814</v>
      </c>
      <c r="G227" t="str">
        <f>"SABAHIYAT 2M"</f>
        <v>SABAHIYAT 2M</v>
      </c>
      <c r="H227" s="2">
        <v>0.46560185185185188</v>
      </c>
      <c r="I227" s="2">
        <v>0.50624999999999998</v>
      </c>
      <c r="J227" s="2">
        <v>4.0648148148148149E-2</v>
      </c>
      <c r="K227" t="s">
        <v>36</v>
      </c>
      <c r="L227" t="s">
        <v>76</v>
      </c>
      <c r="M227" t="s">
        <v>19</v>
      </c>
      <c r="N227" t="s">
        <v>20</v>
      </c>
      <c r="O227" t="s">
        <v>77</v>
      </c>
    </row>
    <row r="228" spans="1:15" x14ac:dyDescent="0.25">
      <c r="A228">
        <v>227</v>
      </c>
      <c r="B228" t="s">
        <v>130</v>
      </c>
      <c r="C228" s="1">
        <v>46265</v>
      </c>
      <c r="D228" t="s">
        <v>16</v>
      </c>
      <c r="E228">
        <v>1207</v>
      </c>
      <c r="F228">
        <v>5732</v>
      </c>
      <c r="G228" t="str">
        <f>"LEGISLATIVES 2026"</f>
        <v>LEGISLATIVES 2026</v>
      </c>
      <c r="H228" s="2">
        <v>0.50624999999999998</v>
      </c>
      <c r="I228" s="2">
        <v>0.50667824074074075</v>
      </c>
      <c r="J228" s="2">
        <v>4.2824074074074075E-4</v>
      </c>
      <c r="L228" t="s">
        <v>26</v>
      </c>
      <c r="M228" t="s">
        <v>24</v>
      </c>
      <c r="N228" t="s">
        <v>27</v>
      </c>
      <c r="O228" t="s">
        <v>28</v>
      </c>
    </row>
    <row r="229" spans="1:15" x14ac:dyDescent="0.25">
      <c r="A229">
        <v>228</v>
      </c>
      <c r="B229" t="s">
        <v>130</v>
      </c>
      <c r="C229" s="1">
        <v>46265</v>
      </c>
      <c r="D229" t="s">
        <v>16</v>
      </c>
      <c r="E229">
        <v>1207</v>
      </c>
      <c r="F229">
        <v>2529</v>
      </c>
      <c r="G229" t="s">
        <v>153</v>
      </c>
      <c r="H229" s="2">
        <v>0.50667824074074075</v>
      </c>
      <c r="I229" s="2">
        <v>0.52525462962962965</v>
      </c>
      <c r="J229" s="2">
        <v>1.8576388888888889E-2</v>
      </c>
      <c r="L229" t="s">
        <v>80</v>
      </c>
      <c r="M229" t="s">
        <v>31</v>
      </c>
      <c r="N229" t="s">
        <v>32</v>
      </c>
      <c r="O229" t="s">
        <v>81</v>
      </c>
    </row>
    <row r="230" spans="1:15" x14ac:dyDescent="0.25">
      <c r="A230">
        <v>229</v>
      </c>
      <c r="B230" t="s">
        <v>130</v>
      </c>
      <c r="C230" s="1">
        <v>46265</v>
      </c>
      <c r="D230" t="s">
        <v>16</v>
      </c>
      <c r="E230">
        <v>1230</v>
      </c>
      <c r="F230">
        <v>5407</v>
      </c>
      <c r="G230" t="s">
        <v>65</v>
      </c>
      <c r="H230" s="2">
        <v>0.52525462962962965</v>
      </c>
      <c r="I230" s="2">
        <v>0.5254861111111111</v>
      </c>
      <c r="J230" s="2">
        <v>2.3148148148148146E-4</v>
      </c>
      <c r="L230" t="s">
        <v>26</v>
      </c>
      <c r="M230" t="s">
        <v>24</v>
      </c>
      <c r="N230" t="s">
        <v>27</v>
      </c>
      <c r="O230" t="s">
        <v>28</v>
      </c>
    </row>
    <row r="231" spans="1:15" x14ac:dyDescent="0.25">
      <c r="A231">
        <v>230</v>
      </c>
      <c r="B231" t="s">
        <v>130</v>
      </c>
      <c r="C231" s="1">
        <v>46265</v>
      </c>
      <c r="D231" t="s">
        <v>16</v>
      </c>
      <c r="E231">
        <v>1230</v>
      </c>
      <c r="F231">
        <v>5683</v>
      </c>
      <c r="G231" t="str">
        <f>"HADA WAQTNA:LEGISLATIVES 2026"</f>
        <v>HADA WAQTNA:LEGISLATIVES 2026</v>
      </c>
      <c r="H231" s="2">
        <v>0.5254861111111111</v>
      </c>
      <c r="I231" s="2">
        <v>0.52708333333333335</v>
      </c>
      <c r="J231" s="2">
        <v>1.5972222222222221E-3</v>
      </c>
      <c r="L231" t="s">
        <v>26</v>
      </c>
      <c r="M231" t="s">
        <v>24</v>
      </c>
      <c r="N231" t="s">
        <v>27</v>
      </c>
      <c r="O231" t="s">
        <v>28</v>
      </c>
    </row>
    <row r="232" spans="1:15" x14ac:dyDescent="0.25">
      <c r="A232">
        <v>231</v>
      </c>
      <c r="B232" t="s">
        <v>130</v>
      </c>
      <c r="C232" s="1">
        <v>46265</v>
      </c>
      <c r="D232" t="s">
        <v>16</v>
      </c>
      <c r="E232">
        <v>1230</v>
      </c>
      <c r="F232">
        <v>21</v>
      </c>
      <c r="G232" t="s">
        <v>59</v>
      </c>
      <c r="H232" s="2">
        <v>0.52708333333333335</v>
      </c>
      <c r="I232" s="2">
        <v>0.52939814814814812</v>
      </c>
      <c r="J232" s="2">
        <v>2.3148148148148151E-3</v>
      </c>
      <c r="K232" t="s">
        <v>154</v>
      </c>
      <c r="L232" t="s">
        <v>61</v>
      </c>
      <c r="M232" t="s">
        <v>62</v>
      </c>
      <c r="N232" t="s">
        <v>63</v>
      </c>
      <c r="O232" t="s">
        <v>64</v>
      </c>
    </row>
    <row r="233" spans="1:15" x14ac:dyDescent="0.25">
      <c r="A233">
        <v>232</v>
      </c>
      <c r="B233" t="s">
        <v>130</v>
      </c>
      <c r="C233" s="1">
        <v>46265</v>
      </c>
      <c r="D233" t="s">
        <v>16</v>
      </c>
      <c r="E233">
        <v>1230</v>
      </c>
      <c r="F233">
        <v>1</v>
      </c>
      <c r="G233" t="s">
        <v>22</v>
      </c>
      <c r="H233" s="2">
        <v>0.52939814814814812</v>
      </c>
      <c r="I233" s="2">
        <v>0.5301851851851852</v>
      </c>
      <c r="J233" s="2">
        <v>7.8703703703703705E-4</v>
      </c>
      <c r="L233" t="s">
        <v>23</v>
      </c>
      <c r="M233" t="s">
        <v>24</v>
      </c>
      <c r="N233" t="s">
        <v>22</v>
      </c>
    </row>
    <row r="234" spans="1:15" x14ac:dyDescent="0.25">
      <c r="A234">
        <v>233</v>
      </c>
      <c r="B234" t="s">
        <v>130</v>
      </c>
      <c r="C234" s="1">
        <v>46265</v>
      </c>
      <c r="D234" t="s">
        <v>16</v>
      </c>
      <c r="E234">
        <v>1230</v>
      </c>
      <c r="F234">
        <v>1233</v>
      </c>
      <c r="G234" t="s">
        <v>66</v>
      </c>
      <c r="H234" s="2">
        <v>0.5301851851851852</v>
      </c>
      <c r="I234" s="2">
        <v>0.5308680555555555</v>
      </c>
      <c r="J234" s="2">
        <v>6.8287037037037025E-4</v>
      </c>
      <c r="L234" t="s">
        <v>26</v>
      </c>
      <c r="M234" t="s">
        <v>24</v>
      </c>
      <c r="N234" t="s">
        <v>27</v>
      </c>
      <c r="O234" t="s">
        <v>28</v>
      </c>
    </row>
    <row r="235" spans="1:15" x14ac:dyDescent="0.25">
      <c r="A235">
        <v>234</v>
      </c>
      <c r="B235" t="s">
        <v>130</v>
      </c>
      <c r="C235" s="1">
        <v>46265</v>
      </c>
      <c r="D235" t="s">
        <v>16</v>
      </c>
      <c r="E235">
        <v>1230</v>
      </c>
      <c r="F235">
        <v>1</v>
      </c>
      <c r="G235" t="s">
        <v>22</v>
      </c>
      <c r="H235" s="2">
        <v>0.5308680555555555</v>
      </c>
      <c r="I235" s="2">
        <v>0.53125</v>
      </c>
      <c r="J235" s="2">
        <v>3.8194444444444446E-4</v>
      </c>
      <c r="L235" t="s">
        <v>23</v>
      </c>
      <c r="M235" t="s">
        <v>24</v>
      </c>
      <c r="N235" t="s">
        <v>22</v>
      </c>
    </row>
    <row r="236" spans="1:15" x14ac:dyDescent="0.25">
      <c r="A236">
        <v>235</v>
      </c>
      <c r="B236" t="s">
        <v>130</v>
      </c>
      <c r="C236" s="1">
        <v>46265</v>
      </c>
      <c r="D236" t="s">
        <v>16</v>
      </c>
      <c r="E236">
        <v>1230</v>
      </c>
      <c r="F236">
        <v>22</v>
      </c>
      <c r="G236" t="s">
        <v>88</v>
      </c>
      <c r="H236" s="2">
        <v>0.53125</v>
      </c>
      <c r="I236" s="2">
        <v>0.55379629629629623</v>
      </c>
      <c r="J236" s="2">
        <v>2.2546296296296297E-2</v>
      </c>
      <c r="K236" t="s">
        <v>155</v>
      </c>
      <c r="L236" t="s">
        <v>90</v>
      </c>
      <c r="M236" t="s">
        <v>62</v>
      </c>
      <c r="N236" t="s">
        <v>91</v>
      </c>
    </row>
    <row r="237" spans="1:15" x14ac:dyDescent="0.25">
      <c r="A237">
        <v>236</v>
      </c>
      <c r="B237" t="s">
        <v>130</v>
      </c>
      <c r="C237" s="1">
        <v>46265</v>
      </c>
      <c r="D237" t="s">
        <v>16</v>
      </c>
      <c r="E237">
        <v>1305</v>
      </c>
      <c r="F237">
        <v>1</v>
      </c>
      <c r="G237" t="s">
        <v>22</v>
      </c>
      <c r="H237" s="2">
        <v>0.55379629629629623</v>
      </c>
      <c r="I237" s="2">
        <v>0.55431712962962965</v>
      </c>
      <c r="J237" s="2">
        <v>5.2083333333333333E-4</v>
      </c>
      <c r="L237" t="s">
        <v>23</v>
      </c>
      <c r="M237" t="s">
        <v>24</v>
      </c>
      <c r="N237" t="s">
        <v>22</v>
      </c>
    </row>
    <row r="238" spans="1:15" x14ac:dyDescent="0.25">
      <c r="A238">
        <v>237</v>
      </c>
      <c r="B238" t="s">
        <v>130</v>
      </c>
      <c r="C238" s="1">
        <v>46265</v>
      </c>
      <c r="D238" t="s">
        <v>16</v>
      </c>
      <c r="E238">
        <v>1305</v>
      </c>
      <c r="F238">
        <v>5696</v>
      </c>
      <c r="G238" t="str">
        <f>"OPERATION MARHABA 2026"</f>
        <v>OPERATION MARHABA 2026</v>
      </c>
      <c r="H238" s="2">
        <v>0.55431712962962965</v>
      </c>
      <c r="I238" s="2">
        <v>0.55478009259259264</v>
      </c>
      <c r="J238" s="2">
        <v>4.6296296296296293E-4</v>
      </c>
      <c r="L238" t="s">
        <v>86</v>
      </c>
      <c r="M238" t="s">
        <v>24</v>
      </c>
      <c r="N238" t="s">
        <v>27</v>
      </c>
      <c r="O238" t="s">
        <v>87</v>
      </c>
    </row>
    <row r="239" spans="1:15" x14ac:dyDescent="0.25">
      <c r="A239">
        <v>238</v>
      </c>
      <c r="B239" t="s">
        <v>130</v>
      </c>
      <c r="C239" s="1">
        <v>46265</v>
      </c>
      <c r="D239" t="s">
        <v>16</v>
      </c>
      <c r="E239">
        <v>1305</v>
      </c>
      <c r="F239">
        <v>5683</v>
      </c>
      <c r="G239" t="str">
        <f>"HADA WAQTNA:LEGISLATIVES 2026"</f>
        <v>HADA WAQTNA:LEGISLATIVES 2026</v>
      </c>
      <c r="H239" s="2">
        <v>0.55478009259259264</v>
      </c>
      <c r="I239" s="2">
        <v>0.55637731481481478</v>
      </c>
      <c r="J239" s="2">
        <v>1.5972222222222221E-3</v>
      </c>
      <c r="L239" t="s">
        <v>26</v>
      </c>
      <c r="M239" t="s">
        <v>24</v>
      </c>
      <c r="N239" t="s">
        <v>27</v>
      </c>
      <c r="O239" t="s">
        <v>28</v>
      </c>
    </row>
    <row r="240" spans="1:15" x14ac:dyDescent="0.25">
      <c r="A240">
        <v>239</v>
      </c>
      <c r="B240" t="s">
        <v>130</v>
      </c>
      <c r="C240" s="1">
        <v>46265</v>
      </c>
      <c r="D240" t="s">
        <v>16</v>
      </c>
      <c r="E240">
        <v>1305</v>
      </c>
      <c r="F240">
        <v>1</v>
      </c>
      <c r="G240" t="s">
        <v>22</v>
      </c>
      <c r="H240" s="2">
        <v>0.55637731481481478</v>
      </c>
      <c r="I240" s="2">
        <v>0.55722222222222217</v>
      </c>
      <c r="J240" s="2">
        <v>8.449074074074075E-4</v>
      </c>
      <c r="L240" t="s">
        <v>23</v>
      </c>
      <c r="M240" t="s">
        <v>24</v>
      </c>
      <c r="N240" t="s">
        <v>22</v>
      </c>
    </row>
    <row r="241" spans="1:15" x14ac:dyDescent="0.25">
      <c r="A241">
        <v>240</v>
      </c>
      <c r="B241" t="s">
        <v>130</v>
      </c>
      <c r="C241" s="1">
        <v>46265</v>
      </c>
      <c r="D241" t="s">
        <v>16</v>
      </c>
      <c r="E241">
        <v>1305</v>
      </c>
      <c r="F241">
        <v>5649</v>
      </c>
      <c r="G241" t="s">
        <v>156</v>
      </c>
      <c r="H241" s="2">
        <v>0.55722222222222217</v>
      </c>
      <c r="I241" s="2">
        <v>0.5855555555555555</v>
      </c>
      <c r="J241" s="2">
        <v>2.8333333333333332E-2</v>
      </c>
      <c r="L241" t="s">
        <v>30</v>
      </c>
      <c r="M241" t="s">
        <v>31</v>
      </c>
      <c r="N241" t="s">
        <v>32</v>
      </c>
      <c r="O241" t="s">
        <v>33</v>
      </c>
    </row>
    <row r="242" spans="1:15" x14ac:dyDescent="0.25">
      <c r="A242">
        <v>241</v>
      </c>
      <c r="B242" t="s">
        <v>130</v>
      </c>
      <c r="C242" s="1">
        <v>46265</v>
      </c>
      <c r="D242" t="s">
        <v>16</v>
      </c>
      <c r="E242">
        <v>1305</v>
      </c>
      <c r="F242">
        <v>5649</v>
      </c>
      <c r="G242" t="s">
        <v>157</v>
      </c>
      <c r="H242" s="2">
        <v>0.55722222222222217</v>
      </c>
      <c r="I242" s="2">
        <v>0.56481481481481477</v>
      </c>
      <c r="J242" s="2">
        <v>7.5925925925925926E-3</v>
      </c>
      <c r="L242" t="s">
        <v>30</v>
      </c>
      <c r="M242" t="s">
        <v>31</v>
      </c>
      <c r="N242" t="s">
        <v>32</v>
      </c>
      <c r="O242" t="s">
        <v>33</v>
      </c>
    </row>
    <row r="243" spans="1:15" x14ac:dyDescent="0.25">
      <c r="A243">
        <v>242</v>
      </c>
      <c r="B243" t="s">
        <v>130</v>
      </c>
      <c r="C243" s="1">
        <v>46265</v>
      </c>
      <c r="D243" t="s">
        <v>16</v>
      </c>
      <c r="E243">
        <v>1330</v>
      </c>
      <c r="F243">
        <v>1</v>
      </c>
      <c r="G243" t="s">
        <v>44</v>
      </c>
      <c r="H243" s="2">
        <v>0.56481481481481477</v>
      </c>
      <c r="I243" s="2">
        <v>0.56488425925925922</v>
      </c>
      <c r="J243" s="2">
        <v>6.9444444444444444E-5</v>
      </c>
      <c r="L243" t="s">
        <v>23</v>
      </c>
      <c r="M243" t="s">
        <v>24</v>
      </c>
      <c r="N243" t="s">
        <v>22</v>
      </c>
    </row>
    <row r="244" spans="1:15" x14ac:dyDescent="0.25">
      <c r="A244">
        <v>243</v>
      </c>
      <c r="B244" t="s">
        <v>130</v>
      </c>
      <c r="C244" s="1">
        <v>46265</v>
      </c>
      <c r="D244" t="s">
        <v>16</v>
      </c>
      <c r="E244">
        <v>1330</v>
      </c>
      <c r="F244">
        <v>826</v>
      </c>
      <c r="G244" t="s">
        <v>45</v>
      </c>
      <c r="H244" s="2">
        <v>0.56488425925925922</v>
      </c>
      <c r="I244" s="2">
        <v>0.56614583333333335</v>
      </c>
      <c r="J244" s="2">
        <v>1.261574074074074E-3</v>
      </c>
      <c r="L244" t="s">
        <v>46</v>
      </c>
      <c r="M244" t="s">
        <v>47</v>
      </c>
      <c r="N244" t="s">
        <v>48</v>
      </c>
    </row>
    <row r="245" spans="1:15" x14ac:dyDescent="0.25">
      <c r="A245">
        <v>244</v>
      </c>
      <c r="B245" t="s">
        <v>130</v>
      </c>
      <c r="C245" s="1">
        <v>46265</v>
      </c>
      <c r="D245" t="s">
        <v>16</v>
      </c>
      <c r="E245">
        <v>1330</v>
      </c>
      <c r="F245">
        <v>1</v>
      </c>
      <c r="G245" t="s">
        <v>44</v>
      </c>
      <c r="H245" s="2">
        <v>0.56614583333333335</v>
      </c>
      <c r="I245" s="2">
        <v>0.5662152777777778</v>
      </c>
      <c r="J245" s="2">
        <v>6.9444444444444444E-5</v>
      </c>
      <c r="L245" t="s">
        <v>23</v>
      </c>
      <c r="M245" t="s">
        <v>24</v>
      </c>
      <c r="N245" t="s">
        <v>22</v>
      </c>
    </row>
    <row r="246" spans="1:15" x14ac:dyDescent="0.25">
      <c r="A246">
        <v>245</v>
      </c>
      <c r="B246" t="s">
        <v>130</v>
      </c>
      <c r="C246" s="1">
        <v>46265</v>
      </c>
      <c r="D246" t="s">
        <v>16</v>
      </c>
      <c r="E246">
        <v>1330</v>
      </c>
      <c r="F246">
        <v>5649</v>
      </c>
      <c r="G246" t="s">
        <v>158</v>
      </c>
      <c r="H246" s="2">
        <v>0.5662152777777778</v>
      </c>
      <c r="I246" s="2">
        <v>0.5855555555555555</v>
      </c>
      <c r="J246" s="2">
        <v>1.9340277777777779E-2</v>
      </c>
      <c r="L246" t="s">
        <v>30</v>
      </c>
      <c r="M246" t="s">
        <v>31</v>
      </c>
      <c r="N246" t="s">
        <v>32</v>
      </c>
      <c r="O246" t="s">
        <v>33</v>
      </c>
    </row>
    <row r="247" spans="1:15" x14ac:dyDescent="0.25">
      <c r="A247">
        <v>246</v>
      </c>
      <c r="B247" t="s">
        <v>130</v>
      </c>
      <c r="C247" s="1">
        <v>46265</v>
      </c>
      <c r="D247" t="s">
        <v>16</v>
      </c>
      <c r="E247" t="str">
        <f t="shared" ref="E247:E258" si="13">"BACNSS2"</f>
        <v>BACNSS2</v>
      </c>
      <c r="F247">
        <v>1</v>
      </c>
      <c r="G247" t="s">
        <v>22</v>
      </c>
      <c r="H247" s="2">
        <v>0.5855555555555555</v>
      </c>
      <c r="I247" s="2">
        <v>0.58629629629629632</v>
      </c>
      <c r="J247" s="2">
        <v>7.407407407407407E-4</v>
      </c>
      <c r="L247" t="s">
        <v>23</v>
      </c>
      <c r="M247" t="s">
        <v>24</v>
      </c>
      <c r="N247" t="s">
        <v>22</v>
      </c>
    </row>
    <row r="248" spans="1:15" x14ac:dyDescent="0.25">
      <c r="A248">
        <v>247</v>
      </c>
      <c r="B248" t="s">
        <v>130</v>
      </c>
      <c r="C248" s="1">
        <v>46265</v>
      </c>
      <c r="D248" t="s">
        <v>16</v>
      </c>
      <c r="E248" t="str">
        <f t="shared" si="13"/>
        <v>BACNSS2</v>
      </c>
      <c r="F248">
        <v>1233</v>
      </c>
      <c r="G248" t="s">
        <v>66</v>
      </c>
      <c r="H248" s="2">
        <v>0.58629629629629632</v>
      </c>
      <c r="I248" s="2">
        <v>0.58696759259259257</v>
      </c>
      <c r="J248" s="2">
        <v>6.7129629629629625E-4</v>
      </c>
      <c r="L248" t="s">
        <v>26</v>
      </c>
      <c r="M248" t="s">
        <v>24</v>
      </c>
      <c r="N248" t="s">
        <v>27</v>
      </c>
      <c r="O248" t="s">
        <v>28</v>
      </c>
    </row>
    <row r="249" spans="1:15" x14ac:dyDescent="0.25">
      <c r="A249">
        <v>248</v>
      </c>
      <c r="B249" t="s">
        <v>130</v>
      </c>
      <c r="C249" s="1">
        <v>46265</v>
      </c>
      <c r="D249" t="s">
        <v>16</v>
      </c>
      <c r="E249" t="str">
        <f t="shared" si="13"/>
        <v>BACNSS2</v>
      </c>
      <c r="F249">
        <v>1</v>
      </c>
      <c r="G249" t="s">
        <v>22</v>
      </c>
      <c r="H249" s="2">
        <v>0.58696759259259257</v>
      </c>
      <c r="I249" s="2">
        <v>0.58760416666666659</v>
      </c>
      <c r="J249" s="2">
        <v>6.3657407407407402E-4</v>
      </c>
      <c r="L249" t="s">
        <v>23</v>
      </c>
      <c r="M249" t="s">
        <v>24</v>
      </c>
      <c r="N249" t="s">
        <v>22</v>
      </c>
    </row>
    <row r="250" spans="1:15" x14ac:dyDescent="0.25">
      <c r="A250">
        <v>249</v>
      </c>
      <c r="B250" t="s">
        <v>130</v>
      </c>
      <c r="C250" s="1">
        <v>46265</v>
      </c>
      <c r="D250" t="s">
        <v>16</v>
      </c>
      <c r="E250" t="str">
        <f t="shared" si="13"/>
        <v>BACNSS2</v>
      </c>
      <c r="F250">
        <v>2</v>
      </c>
      <c r="G250" t="s">
        <v>159</v>
      </c>
      <c r="H250" s="2">
        <v>0.58760416666666659</v>
      </c>
      <c r="I250" s="2">
        <v>0.58769675925925924</v>
      </c>
      <c r="J250" s="2">
        <v>9.2592592592592588E-5</v>
      </c>
      <c r="L250" t="s">
        <v>160</v>
      </c>
      <c r="M250" t="s">
        <v>161</v>
      </c>
      <c r="N250" t="s">
        <v>162</v>
      </c>
    </row>
    <row r="251" spans="1:15" x14ac:dyDescent="0.25">
      <c r="A251">
        <v>250</v>
      </c>
      <c r="B251" t="s">
        <v>130</v>
      </c>
      <c r="C251" s="1">
        <v>46265</v>
      </c>
      <c r="D251" t="s">
        <v>16</v>
      </c>
      <c r="E251" t="str">
        <f t="shared" si="13"/>
        <v>BACNSS2</v>
      </c>
      <c r="F251">
        <v>1</v>
      </c>
      <c r="G251" t="s">
        <v>22</v>
      </c>
      <c r="H251" s="2">
        <v>0.58769675925925924</v>
      </c>
      <c r="I251" s="2">
        <v>0.58775462962962965</v>
      </c>
      <c r="J251" s="2">
        <v>5.7870370370370366E-5</v>
      </c>
      <c r="L251" t="s">
        <v>23</v>
      </c>
      <c r="M251" t="s">
        <v>24</v>
      </c>
      <c r="N251" t="s">
        <v>22</v>
      </c>
    </row>
    <row r="252" spans="1:15" x14ac:dyDescent="0.25">
      <c r="A252">
        <v>251</v>
      </c>
      <c r="B252" t="s">
        <v>130</v>
      </c>
      <c r="C252" s="1">
        <v>46265</v>
      </c>
      <c r="D252" t="s">
        <v>16</v>
      </c>
      <c r="E252" t="str">
        <f t="shared" si="13"/>
        <v>BACNSS2</v>
      </c>
      <c r="F252">
        <v>5683</v>
      </c>
      <c r="G252" t="str">
        <f>"HADA WAQTNA:LEGISLATIVES 2026"</f>
        <v>HADA WAQTNA:LEGISLATIVES 2026</v>
      </c>
      <c r="H252" s="2">
        <v>0.58775462962962965</v>
      </c>
      <c r="I252" s="2">
        <v>0.58934027777777775</v>
      </c>
      <c r="J252" s="2">
        <v>1.5856481481481479E-3</v>
      </c>
      <c r="L252" t="s">
        <v>26</v>
      </c>
      <c r="M252" t="s">
        <v>24</v>
      </c>
      <c r="N252" t="s">
        <v>27</v>
      </c>
      <c r="O252" t="s">
        <v>28</v>
      </c>
    </row>
    <row r="253" spans="1:15" x14ac:dyDescent="0.25">
      <c r="A253">
        <v>252</v>
      </c>
      <c r="B253" t="s">
        <v>130</v>
      </c>
      <c r="C253" s="1">
        <v>46265</v>
      </c>
      <c r="D253" t="s">
        <v>16</v>
      </c>
      <c r="E253" t="str">
        <f t="shared" si="13"/>
        <v>BACNSS2</v>
      </c>
      <c r="F253">
        <v>1</v>
      </c>
      <c r="G253" t="s">
        <v>22</v>
      </c>
      <c r="H253" s="2">
        <v>0.58934027777777775</v>
      </c>
      <c r="I253" s="2">
        <v>0.5897337962962963</v>
      </c>
      <c r="J253" s="2">
        <v>3.9351851851851852E-4</v>
      </c>
      <c r="L253" t="s">
        <v>23</v>
      </c>
      <c r="M253" t="s">
        <v>24</v>
      </c>
      <c r="N253" t="s">
        <v>22</v>
      </c>
    </row>
    <row r="254" spans="1:15" x14ac:dyDescent="0.25">
      <c r="A254">
        <v>253</v>
      </c>
      <c r="B254" t="s">
        <v>130</v>
      </c>
      <c r="C254" s="1">
        <v>46265</v>
      </c>
      <c r="D254" t="s">
        <v>16</v>
      </c>
      <c r="E254" t="str">
        <f t="shared" si="13"/>
        <v>BACNSS2</v>
      </c>
      <c r="F254">
        <v>25</v>
      </c>
      <c r="G254" t="s">
        <v>93</v>
      </c>
      <c r="H254" s="2">
        <v>0.5897337962962963</v>
      </c>
      <c r="I254" s="2">
        <v>0.5951157407407407</v>
      </c>
      <c r="J254" s="2">
        <v>5.3819444444444453E-3</v>
      </c>
      <c r="L254" t="s">
        <v>90</v>
      </c>
      <c r="M254" t="s">
        <v>62</v>
      </c>
      <c r="N254" t="s">
        <v>91</v>
      </c>
    </row>
    <row r="255" spans="1:15" x14ac:dyDescent="0.25">
      <c r="A255">
        <v>254</v>
      </c>
      <c r="B255" t="s">
        <v>130</v>
      </c>
      <c r="C255" s="1">
        <v>46265</v>
      </c>
      <c r="D255" t="s">
        <v>16</v>
      </c>
      <c r="E255" t="str">
        <f t="shared" si="13"/>
        <v>BACNSS2</v>
      </c>
      <c r="F255">
        <v>1</v>
      </c>
      <c r="G255" t="s">
        <v>22</v>
      </c>
      <c r="H255" s="2">
        <v>0.5951157407407407</v>
      </c>
      <c r="I255" s="2">
        <v>0.59564814814814815</v>
      </c>
      <c r="J255" s="2">
        <v>5.3240740740740744E-4</v>
      </c>
      <c r="L255" t="s">
        <v>23</v>
      </c>
      <c r="M255" t="s">
        <v>24</v>
      </c>
      <c r="N255" t="s">
        <v>22</v>
      </c>
    </row>
    <row r="256" spans="1:15" x14ac:dyDescent="0.25">
      <c r="A256">
        <v>255</v>
      </c>
      <c r="B256" t="s">
        <v>130</v>
      </c>
      <c r="C256" s="1">
        <v>46265</v>
      </c>
      <c r="D256" t="s">
        <v>16</v>
      </c>
      <c r="E256" t="str">
        <f t="shared" si="13"/>
        <v>BACNSS2</v>
      </c>
      <c r="F256">
        <v>5732</v>
      </c>
      <c r="G256" t="str">
        <f>"LEGISLATIVES 2026"</f>
        <v>LEGISLATIVES 2026</v>
      </c>
      <c r="H256" s="2">
        <v>0.59564814814814815</v>
      </c>
      <c r="I256" s="2">
        <v>0.59605324074074073</v>
      </c>
      <c r="J256" s="2">
        <v>4.0509259259259258E-4</v>
      </c>
      <c r="L256" t="s">
        <v>26</v>
      </c>
      <c r="M256" t="s">
        <v>24</v>
      </c>
      <c r="N256" t="s">
        <v>27</v>
      </c>
      <c r="O256" t="s">
        <v>28</v>
      </c>
    </row>
    <row r="257" spans="1:15" x14ac:dyDescent="0.25">
      <c r="A257">
        <v>256</v>
      </c>
      <c r="B257" t="s">
        <v>130</v>
      </c>
      <c r="C257" s="1">
        <v>46265</v>
      </c>
      <c r="D257" t="s">
        <v>16</v>
      </c>
      <c r="E257" t="str">
        <f t="shared" si="13"/>
        <v>BACNSS2</v>
      </c>
      <c r="F257">
        <v>1</v>
      </c>
      <c r="G257" t="s">
        <v>22</v>
      </c>
      <c r="H257" s="2">
        <v>0.59605324074074073</v>
      </c>
      <c r="I257" s="2">
        <v>0.59807870370370375</v>
      </c>
      <c r="J257" s="2">
        <v>2.0254629629629629E-3</v>
      </c>
      <c r="L257" t="s">
        <v>23</v>
      </c>
      <c r="M257" t="s">
        <v>24</v>
      </c>
      <c r="N257" t="s">
        <v>22</v>
      </c>
    </row>
    <row r="258" spans="1:15" x14ac:dyDescent="0.25">
      <c r="A258">
        <v>257</v>
      </c>
      <c r="B258" t="s">
        <v>130</v>
      </c>
      <c r="C258" s="1">
        <v>46265</v>
      </c>
      <c r="D258" t="s">
        <v>16</v>
      </c>
      <c r="E258" t="str">
        <f t="shared" si="13"/>
        <v>BACNSS2</v>
      </c>
      <c r="F258">
        <v>1862</v>
      </c>
      <c r="G258" t="s">
        <v>151</v>
      </c>
      <c r="H258" s="2">
        <v>0.59807870370370375</v>
      </c>
      <c r="I258" s="2">
        <v>0.61596064814814822</v>
      </c>
      <c r="J258" s="2">
        <v>1.7881944444444443E-2</v>
      </c>
      <c r="K258" t="s">
        <v>36</v>
      </c>
      <c r="L258" t="s">
        <v>80</v>
      </c>
      <c r="M258" t="s">
        <v>31</v>
      </c>
      <c r="N258" t="s">
        <v>32</v>
      </c>
      <c r="O258" t="s">
        <v>81</v>
      </c>
    </row>
    <row r="259" spans="1:15" x14ac:dyDescent="0.25">
      <c r="A259">
        <v>258</v>
      </c>
      <c r="B259" t="s">
        <v>130</v>
      </c>
      <c r="C259" s="1">
        <v>46265</v>
      </c>
      <c r="D259" t="s">
        <v>16</v>
      </c>
      <c r="E259">
        <v>1440</v>
      </c>
      <c r="F259">
        <v>1</v>
      </c>
      <c r="G259" t="s">
        <v>22</v>
      </c>
      <c r="H259" s="2">
        <v>0.61596064814814822</v>
      </c>
      <c r="I259" s="2">
        <v>0.61689814814814814</v>
      </c>
      <c r="J259" s="2">
        <v>9.3750000000000007E-4</v>
      </c>
      <c r="L259" t="s">
        <v>23</v>
      </c>
      <c r="M259" t="s">
        <v>24</v>
      </c>
      <c r="N259" t="s">
        <v>22</v>
      </c>
    </row>
    <row r="260" spans="1:15" x14ac:dyDescent="0.25">
      <c r="A260">
        <v>259</v>
      </c>
      <c r="B260" t="s">
        <v>130</v>
      </c>
      <c r="C260" s="1">
        <v>46265</v>
      </c>
      <c r="D260" t="s">
        <v>16</v>
      </c>
      <c r="E260">
        <v>1440</v>
      </c>
      <c r="F260">
        <v>5239</v>
      </c>
      <c r="G260" t="s">
        <v>163</v>
      </c>
      <c r="H260" s="2">
        <v>0.61689814814814814</v>
      </c>
      <c r="I260" s="2">
        <v>0.61730324074074072</v>
      </c>
      <c r="J260" s="2">
        <v>4.0509259259259258E-4</v>
      </c>
      <c r="K260" t="s">
        <v>164</v>
      </c>
      <c r="L260" t="s">
        <v>86</v>
      </c>
      <c r="M260" t="s">
        <v>24</v>
      </c>
      <c r="N260" t="s">
        <v>27</v>
      </c>
      <c r="O260" t="s">
        <v>87</v>
      </c>
    </row>
    <row r="261" spans="1:15" x14ac:dyDescent="0.25">
      <c r="A261">
        <v>260</v>
      </c>
      <c r="B261" t="s">
        <v>130</v>
      </c>
      <c r="C261" s="1">
        <v>46265</v>
      </c>
      <c r="D261" t="s">
        <v>16</v>
      </c>
      <c r="E261">
        <v>1440</v>
      </c>
      <c r="F261">
        <v>5329</v>
      </c>
      <c r="G261" t="s">
        <v>165</v>
      </c>
      <c r="H261" s="2">
        <v>0.61730324074074072</v>
      </c>
      <c r="I261" s="2">
        <v>0.68371527777777785</v>
      </c>
      <c r="J261" s="2">
        <v>6.6412037037037033E-2</v>
      </c>
      <c r="L261" t="s">
        <v>110</v>
      </c>
      <c r="M261" t="s">
        <v>31</v>
      </c>
      <c r="N261" t="s">
        <v>111</v>
      </c>
      <c r="O261" t="s">
        <v>33</v>
      </c>
    </row>
    <row r="262" spans="1:15" x14ac:dyDescent="0.25">
      <c r="A262">
        <v>261</v>
      </c>
      <c r="B262" t="s">
        <v>130</v>
      </c>
      <c r="C262" s="1">
        <v>46265</v>
      </c>
      <c r="D262" t="s">
        <v>16</v>
      </c>
      <c r="E262">
        <v>1440</v>
      </c>
      <c r="F262">
        <v>5329</v>
      </c>
      <c r="G262" t="s">
        <v>166</v>
      </c>
      <c r="H262" s="2">
        <v>0.61730324074074072</v>
      </c>
      <c r="I262" s="2">
        <v>0.62243055555555549</v>
      </c>
      <c r="J262" s="2">
        <v>5.1273148148148146E-3</v>
      </c>
      <c r="L262" t="s">
        <v>110</v>
      </c>
      <c r="M262" t="s">
        <v>31</v>
      </c>
      <c r="N262" t="s">
        <v>111</v>
      </c>
      <c r="O262" t="s">
        <v>33</v>
      </c>
    </row>
    <row r="263" spans="1:15" x14ac:dyDescent="0.25">
      <c r="A263">
        <v>262</v>
      </c>
      <c r="B263" t="s">
        <v>130</v>
      </c>
      <c r="C263" s="1">
        <v>46265</v>
      </c>
      <c r="D263" t="s">
        <v>16</v>
      </c>
      <c r="E263">
        <v>1527</v>
      </c>
      <c r="F263">
        <v>99</v>
      </c>
      <c r="G263" t="s">
        <v>167</v>
      </c>
      <c r="H263" s="2">
        <v>0.62243055555555549</v>
      </c>
      <c r="I263" s="2">
        <v>0.62281249999999999</v>
      </c>
      <c r="J263" s="2">
        <v>3.8194444444444446E-4</v>
      </c>
      <c r="K263">
        <v>1</v>
      </c>
      <c r="L263" t="s">
        <v>160</v>
      </c>
      <c r="M263" t="s">
        <v>161</v>
      </c>
      <c r="N263" t="s">
        <v>162</v>
      </c>
    </row>
    <row r="264" spans="1:15" x14ac:dyDescent="0.25">
      <c r="A264">
        <v>263</v>
      </c>
      <c r="B264" t="s">
        <v>130</v>
      </c>
      <c r="C264" s="1">
        <v>46265</v>
      </c>
      <c r="D264" t="s">
        <v>16</v>
      </c>
      <c r="E264">
        <v>1447</v>
      </c>
      <c r="F264">
        <v>1</v>
      </c>
      <c r="G264" t="s">
        <v>44</v>
      </c>
      <c r="H264" s="2">
        <v>0.62281249999999999</v>
      </c>
      <c r="I264" s="2">
        <v>0.62355324074074081</v>
      </c>
      <c r="J264" s="2">
        <v>7.407407407407407E-4</v>
      </c>
      <c r="L264" t="s">
        <v>23</v>
      </c>
      <c r="M264" t="s">
        <v>24</v>
      </c>
      <c r="N264" t="s">
        <v>22</v>
      </c>
    </row>
    <row r="265" spans="1:15" x14ac:dyDescent="0.25">
      <c r="A265">
        <v>264</v>
      </c>
      <c r="B265" t="s">
        <v>130</v>
      </c>
      <c r="C265" s="1">
        <v>46265</v>
      </c>
      <c r="D265" t="s">
        <v>16</v>
      </c>
      <c r="E265">
        <v>1447</v>
      </c>
      <c r="F265">
        <v>5329</v>
      </c>
      <c r="G265" t="s">
        <v>168</v>
      </c>
      <c r="H265" s="2">
        <v>0.62355324074074081</v>
      </c>
      <c r="I265" s="2">
        <v>0.63930555555555557</v>
      </c>
      <c r="J265" s="2">
        <v>1.5752314814814813E-2</v>
      </c>
      <c r="L265" t="s">
        <v>110</v>
      </c>
      <c r="M265" t="s">
        <v>31</v>
      </c>
      <c r="N265" t="s">
        <v>111</v>
      </c>
      <c r="O265" t="s">
        <v>33</v>
      </c>
    </row>
    <row r="266" spans="1:15" x14ac:dyDescent="0.25">
      <c r="A266">
        <v>265</v>
      </c>
      <c r="B266" t="s">
        <v>130</v>
      </c>
      <c r="C266" s="1">
        <v>46265</v>
      </c>
      <c r="D266" t="s">
        <v>16</v>
      </c>
      <c r="E266">
        <v>1547</v>
      </c>
      <c r="F266">
        <v>99</v>
      </c>
      <c r="G266" t="s">
        <v>167</v>
      </c>
      <c r="H266" s="2">
        <v>0.63930555555555557</v>
      </c>
      <c r="I266" s="2">
        <v>0.63998842592592597</v>
      </c>
      <c r="J266" s="2">
        <v>6.8287037037037025E-4</v>
      </c>
      <c r="K266">
        <v>2</v>
      </c>
      <c r="L266" t="s">
        <v>160</v>
      </c>
      <c r="M266" t="s">
        <v>161</v>
      </c>
      <c r="N266" t="s">
        <v>162</v>
      </c>
    </row>
    <row r="267" spans="1:15" x14ac:dyDescent="0.25">
      <c r="A267">
        <v>266</v>
      </c>
      <c r="B267" t="s">
        <v>130</v>
      </c>
      <c r="C267" s="1">
        <v>46265</v>
      </c>
      <c r="D267" t="s">
        <v>16</v>
      </c>
      <c r="E267">
        <v>1515</v>
      </c>
      <c r="F267">
        <v>5329</v>
      </c>
      <c r="G267" t="s">
        <v>168</v>
      </c>
      <c r="H267" s="2">
        <v>0.63998842592592597</v>
      </c>
      <c r="I267" s="2">
        <v>0.68371527777777785</v>
      </c>
      <c r="J267" s="2">
        <v>4.372685185185185E-2</v>
      </c>
      <c r="L267" t="s">
        <v>110</v>
      </c>
      <c r="M267" t="s">
        <v>31</v>
      </c>
      <c r="N267" t="s">
        <v>111</v>
      </c>
      <c r="O267" t="s">
        <v>33</v>
      </c>
    </row>
    <row r="268" spans="1:15" x14ac:dyDescent="0.25">
      <c r="A268">
        <v>267</v>
      </c>
      <c r="B268" t="s">
        <v>130</v>
      </c>
      <c r="C268" s="1">
        <v>46265</v>
      </c>
      <c r="D268" t="s">
        <v>16</v>
      </c>
      <c r="E268">
        <v>1627</v>
      </c>
      <c r="F268">
        <v>1</v>
      </c>
      <c r="G268" t="s">
        <v>22</v>
      </c>
      <c r="H268" s="2">
        <v>0.68371527777777785</v>
      </c>
      <c r="I268" s="2">
        <v>0.68450231481481483</v>
      </c>
      <c r="J268" s="2">
        <v>7.8703703703703705E-4</v>
      </c>
      <c r="L268" t="s">
        <v>23</v>
      </c>
      <c r="M268" t="s">
        <v>24</v>
      </c>
      <c r="N268" t="s">
        <v>22</v>
      </c>
    </row>
    <row r="269" spans="1:15" x14ac:dyDescent="0.25">
      <c r="A269">
        <v>268</v>
      </c>
      <c r="B269" t="s">
        <v>130</v>
      </c>
      <c r="C269" s="1">
        <v>46265</v>
      </c>
      <c r="D269" t="s">
        <v>16</v>
      </c>
      <c r="E269">
        <v>1627</v>
      </c>
      <c r="F269">
        <v>5683</v>
      </c>
      <c r="G269" t="str">
        <f>"HADA WAQTNA:LEGISLATIVES 2026"</f>
        <v>HADA WAQTNA:LEGISLATIVES 2026</v>
      </c>
      <c r="H269" s="2">
        <v>0.68450231481481483</v>
      </c>
      <c r="I269" s="2">
        <v>0.68609953703703708</v>
      </c>
      <c r="J269" s="2">
        <v>1.5972222222222221E-3</v>
      </c>
      <c r="L269" t="s">
        <v>26</v>
      </c>
      <c r="M269" t="s">
        <v>24</v>
      </c>
      <c r="N269" t="s">
        <v>27</v>
      </c>
      <c r="O269" t="s">
        <v>28</v>
      </c>
    </row>
    <row r="270" spans="1:15" x14ac:dyDescent="0.25">
      <c r="A270">
        <v>269</v>
      </c>
      <c r="B270" t="s">
        <v>130</v>
      </c>
      <c r="C270" s="1">
        <v>46265</v>
      </c>
      <c r="D270" t="s">
        <v>16</v>
      </c>
      <c r="E270">
        <v>1627</v>
      </c>
      <c r="F270">
        <v>5409</v>
      </c>
      <c r="G270" t="s">
        <v>39</v>
      </c>
      <c r="H270" s="2">
        <v>0.68609953703703708</v>
      </c>
      <c r="I270" s="2">
        <v>0.68628472222222225</v>
      </c>
      <c r="J270" s="2">
        <v>1.8518518518518518E-4</v>
      </c>
      <c r="L270" t="s">
        <v>26</v>
      </c>
      <c r="M270" t="s">
        <v>24</v>
      </c>
      <c r="N270" t="s">
        <v>27</v>
      </c>
      <c r="O270" t="s">
        <v>28</v>
      </c>
    </row>
    <row r="271" spans="1:15" x14ac:dyDescent="0.25">
      <c r="A271">
        <v>270</v>
      </c>
      <c r="B271" t="s">
        <v>130</v>
      </c>
      <c r="C271" s="1">
        <v>46265</v>
      </c>
      <c r="D271" t="s">
        <v>16</v>
      </c>
      <c r="E271">
        <v>1627</v>
      </c>
      <c r="F271">
        <v>1</v>
      </c>
      <c r="G271" t="s">
        <v>22</v>
      </c>
      <c r="H271" s="2">
        <v>0.68628472222222225</v>
      </c>
      <c r="I271" s="2">
        <v>0.6866782407407408</v>
      </c>
      <c r="J271" s="2">
        <v>3.9351851851851852E-4</v>
      </c>
      <c r="L271" t="s">
        <v>23</v>
      </c>
      <c r="M271" t="s">
        <v>24</v>
      </c>
      <c r="N271" t="s">
        <v>22</v>
      </c>
    </row>
    <row r="272" spans="1:15" x14ac:dyDescent="0.25">
      <c r="A272">
        <v>271</v>
      </c>
      <c r="B272" t="s">
        <v>130</v>
      </c>
      <c r="C272" s="1">
        <v>46265</v>
      </c>
      <c r="D272" t="s">
        <v>16</v>
      </c>
      <c r="E272">
        <v>1627</v>
      </c>
      <c r="F272">
        <v>5504</v>
      </c>
      <c r="G272" t="s">
        <v>169</v>
      </c>
      <c r="H272" s="2">
        <v>0.6866782407407408</v>
      </c>
      <c r="I272" s="2">
        <v>0.7290740740740741</v>
      </c>
      <c r="J272" s="2">
        <v>4.2395833333333334E-2</v>
      </c>
      <c r="K272" t="s">
        <v>170</v>
      </c>
      <c r="L272" t="s">
        <v>133</v>
      </c>
      <c r="M272" t="s">
        <v>134</v>
      </c>
      <c r="N272" t="s">
        <v>135</v>
      </c>
      <c r="O272" t="s">
        <v>136</v>
      </c>
    </row>
    <row r="273" spans="1:15" x14ac:dyDescent="0.25">
      <c r="A273">
        <v>272</v>
      </c>
      <c r="B273" t="s">
        <v>130</v>
      </c>
      <c r="C273" s="1">
        <v>46265</v>
      </c>
      <c r="D273" t="s">
        <v>16</v>
      </c>
      <c r="E273">
        <v>1627</v>
      </c>
      <c r="F273">
        <v>5504</v>
      </c>
      <c r="G273" t="s">
        <v>171</v>
      </c>
      <c r="H273" s="2">
        <v>0.6866782407407408</v>
      </c>
      <c r="I273" s="2">
        <v>0.69078703703703714</v>
      </c>
      <c r="J273" s="2">
        <v>4.108796296296297E-3</v>
      </c>
      <c r="K273" t="s">
        <v>170</v>
      </c>
      <c r="L273" t="s">
        <v>133</v>
      </c>
      <c r="M273" t="s">
        <v>134</v>
      </c>
      <c r="N273" t="s">
        <v>135</v>
      </c>
      <c r="O273" t="s">
        <v>136</v>
      </c>
    </row>
    <row r="274" spans="1:15" x14ac:dyDescent="0.25">
      <c r="A274">
        <v>273</v>
      </c>
      <c r="B274" t="s">
        <v>130</v>
      </c>
      <c r="C274" s="1">
        <v>46265</v>
      </c>
      <c r="D274" t="s">
        <v>16</v>
      </c>
      <c r="E274">
        <v>1657</v>
      </c>
      <c r="F274">
        <v>99</v>
      </c>
      <c r="G274" t="s">
        <v>167</v>
      </c>
      <c r="H274" s="2">
        <v>0.69078703703703714</v>
      </c>
      <c r="I274" s="2">
        <v>0.69116898148148154</v>
      </c>
      <c r="J274" s="2">
        <v>3.8194444444444446E-4</v>
      </c>
      <c r="K274">
        <v>1</v>
      </c>
      <c r="L274" t="s">
        <v>160</v>
      </c>
      <c r="M274" t="s">
        <v>161</v>
      </c>
      <c r="N274" t="s">
        <v>162</v>
      </c>
    </row>
    <row r="275" spans="1:15" x14ac:dyDescent="0.25">
      <c r="A275">
        <v>274</v>
      </c>
      <c r="B275" t="s">
        <v>130</v>
      </c>
      <c r="C275" s="1">
        <v>46265</v>
      </c>
      <c r="D275" t="s">
        <v>16</v>
      </c>
      <c r="E275">
        <v>1627</v>
      </c>
      <c r="F275">
        <v>5504</v>
      </c>
      <c r="G275" t="s">
        <v>172</v>
      </c>
      <c r="H275" s="2">
        <v>0.69116898148148154</v>
      </c>
      <c r="I275" s="2">
        <v>0.71202546296296287</v>
      </c>
      <c r="J275" s="2">
        <v>2.0856481481481479E-2</v>
      </c>
      <c r="K275" t="s">
        <v>170</v>
      </c>
      <c r="L275" t="s">
        <v>133</v>
      </c>
      <c r="M275" t="s">
        <v>134</v>
      </c>
      <c r="N275" t="s">
        <v>135</v>
      </c>
      <c r="O275" t="s">
        <v>136</v>
      </c>
    </row>
    <row r="276" spans="1:15" x14ac:dyDescent="0.25">
      <c r="A276">
        <v>275</v>
      </c>
      <c r="B276" t="s">
        <v>130</v>
      </c>
      <c r="C276" s="1">
        <v>46265</v>
      </c>
      <c r="D276" t="s">
        <v>16</v>
      </c>
      <c r="E276">
        <v>1657</v>
      </c>
      <c r="F276">
        <v>1</v>
      </c>
      <c r="G276" t="s">
        <v>44</v>
      </c>
      <c r="H276" s="2">
        <v>0.71202546296296287</v>
      </c>
      <c r="I276" s="2">
        <v>0.71209490740740744</v>
      </c>
      <c r="J276" s="2">
        <v>6.9444444444444444E-5</v>
      </c>
      <c r="L276" t="s">
        <v>23</v>
      </c>
      <c r="M276" t="s">
        <v>24</v>
      </c>
      <c r="N276" t="s">
        <v>22</v>
      </c>
    </row>
    <row r="277" spans="1:15" x14ac:dyDescent="0.25">
      <c r="A277">
        <v>276</v>
      </c>
      <c r="B277" t="s">
        <v>130</v>
      </c>
      <c r="C277" s="1">
        <v>46265</v>
      </c>
      <c r="D277" t="s">
        <v>16</v>
      </c>
      <c r="E277">
        <v>1657</v>
      </c>
      <c r="F277">
        <v>826</v>
      </c>
      <c r="G277" t="s">
        <v>45</v>
      </c>
      <c r="H277" s="2">
        <v>0.71209490740740744</v>
      </c>
      <c r="I277" s="2">
        <v>0.71335648148148145</v>
      </c>
      <c r="J277" s="2">
        <v>1.261574074074074E-3</v>
      </c>
      <c r="L277" t="s">
        <v>46</v>
      </c>
      <c r="M277" t="s">
        <v>47</v>
      </c>
      <c r="N277" t="s">
        <v>48</v>
      </c>
    </row>
    <row r="278" spans="1:15" x14ac:dyDescent="0.25">
      <c r="A278">
        <v>277</v>
      </c>
      <c r="B278" t="s">
        <v>130</v>
      </c>
      <c r="C278" s="1">
        <v>46265</v>
      </c>
      <c r="D278" t="s">
        <v>16</v>
      </c>
      <c r="E278">
        <v>1657</v>
      </c>
      <c r="F278">
        <v>1</v>
      </c>
      <c r="G278" t="s">
        <v>44</v>
      </c>
      <c r="H278" s="2">
        <v>0.71335648148148145</v>
      </c>
      <c r="I278" s="2">
        <v>0.71342592592592602</v>
      </c>
      <c r="J278" s="2">
        <v>6.9444444444444444E-5</v>
      </c>
      <c r="L278" t="s">
        <v>23</v>
      </c>
      <c r="M278" t="s">
        <v>24</v>
      </c>
      <c r="N278" t="s">
        <v>22</v>
      </c>
    </row>
    <row r="279" spans="1:15" x14ac:dyDescent="0.25">
      <c r="A279">
        <v>278</v>
      </c>
      <c r="B279" t="s">
        <v>130</v>
      </c>
      <c r="C279" s="1">
        <v>46265</v>
      </c>
      <c r="D279" t="s">
        <v>16</v>
      </c>
      <c r="E279">
        <v>1657</v>
      </c>
      <c r="F279">
        <v>5504</v>
      </c>
      <c r="G279" t="s">
        <v>172</v>
      </c>
      <c r="H279" s="2">
        <v>0.71342592592592602</v>
      </c>
      <c r="I279" s="2">
        <v>0.7290740740740741</v>
      </c>
      <c r="J279" s="2">
        <v>1.5648148148148151E-2</v>
      </c>
      <c r="K279" t="s">
        <v>170</v>
      </c>
      <c r="L279" t="s">
        <v>133</v>
      </c>
      <c r="M279" t="s">
        <v>134</v>
      </c>
      <c r="N279" t="s">
        <v>135</v>
      </c>
      <c r="O279" t="s">
        <v>136</v>
      </c>
    </row>
    <row r="280" spans="1:15" x14ac:dyDescent="0.25">
      <c r="A280">
        <v>279</v>
      </c>
      <c r="B280" t="s">
        <v>130</v>
      </c>
      <c r="C280" s="1">
        <v>46265</v>
      </c>
      <c r="D280" t="s">
        <v>16</v>
      </c>
      <c r="E280">
        <v>1717</v>
      </c>
      <c r="F280">
        <v>5683</v>
      </c>
      <c r="G280" t="str">
        <f>"HADA WAQTNA:LEGISLATIVES 2026"</f>
        <v>HADA WAQTNA:LEGISLATIVES 2026</v>
      </c>
      <c r="H280" s="2">
        <v>0.7290740740740741</v>
      </c>
      <c r="I280" s="2">
        <v>0.7306597222222222</v>
      </c>
      <c r="J280" s="2">
        <v>1.5856481481481479E-3</v>
      </c>
      <c r="L280" t="s">
        <v>26</v>
      </c>
      <c r="M280" t="s">
        <v>24</v>
      </c>
      <c r="N280" t="s">
        <v>27</v>
      </c>
      <c r="O280" t="s">
        <v>28</v>
      </c>
    </row>
    <row r="281" spans="1:15" x14ac:dyDescent="0.25">
      <c r="A281">
        <v>280</v>
      </c>
      <c r="B281" t="s">
        <v>130</v>
      </c>
      <c r="C281" s="1">
        <v>46265</v>
      </c>
      <c r="D281" t="s">
        <v>16</v>
      </c>
      <c r="E281">
        <v>1717</v>
      </c>
      <c r="F281">
        <v>1</v>
      </c>
      <c r="G281" t="s">
        <v>22</v>
      </c>
      <c r="H281" s="2">
        <v>0.7306597222222222</v>
      </c>
      <c r="I281" s="2">
        <v>0.73105324074074074</v>
      </c>
      <c r="J281" s="2">
        <v>3.9351851851851852E-4</v>
      </c>
      <c r="L281" t="s">
        <v>23</v>
      </c>
      <c r="M281" t="s">
        <v>24</v>
      </c>
      <c r="N281" t="s">
        <v>22</v>
      </c>
    </row>
    <row r="282" spans="1:15" x14ac:dyDescent="0.25">
      <c r="A282">
        <v>281</v>
      </c>
      <c r="B282" t="s">
        <v>130</v>
      </c>
      <c r="C282" s="1">
        <v>46265</v>
      </c>
      <c r="D282" t="s">
        <v>16</v>
      </c>
      <c r="E282">
        <v>1717</v>
      </c>
      <c r="F282">
        <v>5600</v>
      </c>
      <c r="G282" t="s">
        <v>173</v>
      </c>
      <c r="H282" s="2">
        <v>0.73105324074074074</v>
      </c>
      <c r="I282" s="2">
        <v>0.74637731481481484</v>
      </c>
      <c r="J282" s="2">
        <v>1.5324074074074073E-2</v>
      </c>
      <c r="L282" t="s">
        <v>174</v>
      </c>
      <c r="M282" t="s">
        <v>175</v>
      </c>
      <c r="N282" t="s">
        <v>176</v>
      </c>
      <c r="O282" t="s">
        <v>177</v>
      </c>
    </row>
    <row r="283" spans="1:15" x14ac:dyDescent="0.25">
      <c r="A283">
        <v>282</v>
      </c>
      <c r="B283" t="s">
        <v>130</v>
      </c>
      <c r="C283" s="1">
        <v>46265</v>
      </c>
      <c r="D283" t="s">
        <v>16</v>
      </c>
      <c r="E283">
        <v>1745</v>
      </c>
      <c r="F283">
        <v>5663</v>
      </c>
      <c r="G283" t="s">
        <v>178</v>
      </c>
      <c r="H283" s="2">
        <v>0.74637731481481484</v>
      </c>
      <c r="I283" s="2">
        <v>0.75442129629629628</v>
      </c>
      <c r="J283" s="2">
        <v>8.0439814814814818E-3</v>
      </c>
      <c r="L283" t="s">
        <v>174</v>
      </c>
      <c r="M283" t="s">
        <v>175</v>
      </c>
      <c r="N283" t="s">
        <v>176</v>
      </c>
      <c r="O283" t="s">
        <v>177</v>
      </c>
    </row>
    <row r="284" spans="1:15" x14ac:dyDescent="0.25">
      <c r="A284">
        <v>283</v>
      </c>
      <c r="B284" t="s">
        <v>130</v>
      </c>
      <c r="C284" s="1">
        <v>46265</v>
      </c>
      <c r="D284" t="s">
        <v>16</v>
      </c>
      <c r="E284">
        <v>1757</v>
      </c>
      <c r="F284">
        <v>1</v>
      </c>
      <c r="G284" t="s">
        <v>22</v>
      </c>
      <c r="H284" s="2">
        <v>0.75442129629629628</v>
      </c>
      <c r="I284" s="2">
        <v>0.75487268518518524</v>
      </c>
      <c r="J284" s="2">
        <v>4.5138888888888892E-4</v>
      </c>
      <c r="L284" t="s">
        <v>23</v>
      </c>
      <c r="M284" t="s">
        <v>24</v>
      </c>
      <c r="N284" t="s">
        <v>22</v>
      </c>
    </row>
    <row r="285" spans="1:15" x14ac:dyDescent="0.25">
      <c r="A285">
        <v>284</v>
      </c>
      <c r="B285" t="s">
        <v>130</v>
      </c>
      <c r="C285" s="1">
        <v>46265</v>
      </c>
      <c r="D285" t="s">
        <v>16</v>
      </c>
      <c r="E285">
        <v>1757</v>
      </c>
      <c r="F285">
        <v>5683</v>
      </c>
      <c r="G285" t="str">
        <f>"HADA WAQTNA:LEGISLATIVES 2026"</f>
        <v>HADA WAQTNA:LEGISLATIVES 2026</v>
      </c>
      <c r="H285" s="2">
        <v>0.75487268518518524</v>
      </c>
      <c r="I285" s="2">
        <v>0.75645833333333334</v>
      </c>
      <c r="J285" s="2">
        <v>1.5856481481481479E-3</v>
      </c>
      <c r="L285" t="s">
        <v>26</v>
      </c>
      <c r="M285" t="s">
        <v>24</v>
      </c>
      <c r="N285" t="s">
        <v>27</v>
      </c>
      <c r="O285" t="s">
        <v>28</v>
      </c>
    </row>
    <row r="286" spans="1:15" x14ac:dyDescent="0.25">
      <c r="A286">
        <v>285</v>
      </c>
      <c r="B286" t="s">
        <v>130</v>
      </c>
      <c r="C286" s="1">
        <v>46265</v>
      </c>
      <c r="D286" t="s">
        <v>16</v>
      </c>
      <c r="E286">
        <v>1810</v>
      </c>
      <c r="F286">
        <v>1</v>
      </c>
      <c r="G286" t="s">
        <v>22</v>
      </c>
      <c r="H286" s="2">
        <v>0.75645833333333334</v>
      </c>
      <c r="I286" s="2">
        <v>0.75736111111111104</v>
      </c>
      <c r="J286" s="2">
        <v>9.0277777777777784E-4</v>
      </c>
      <c r="L286" t="s">
        <v>23</v>
      </c>
      <c r="M286" t="s">
        <v>24</v>
      </c>
      <c r="N286" t="s">
        <v>22</v>
      </c>
    </row>
    <row r="287" spans="1:15" x14ac:dyDescent="0.25">
      <c r="A287">
        <v>286</v>
      </c>
      <c r="B287" t="s">
        <v>130</v>
      </c>
      <c r="C287" s="1">
        <v>46265</v>
      </c>
      <c r="D287" t="s">
        <v>16</v>
      </c>
      <c r="E287">
        <v>1810</v>
      </c>
      <c r="F287">
        <v>99</v>
      </c>
      <c r="G287" t="s">
        <v>161</v>
      </c>
      <c r="H287" s="2">
        <v>0.75736111111111104</v>
      </c>
      <c r="I287" s="2">
        <v>0.75785879629629627</v>
      </c>
      <c r="J287" s="2">
        <v>4.9768518518518521E-4</v>
      </c>
      <c r="K287">
        <v>1</v>
      </c>
      <c r="L287" t="s">
        <v>160</v>
      </c>
      <c r="M287" t="s">
        <v>161</v>
      </c>
      <c r="N287" t="s">
        <v>162</v>
      </c>
    </row>
    <row r="288" spans="1:15" x14ac:dyDescent="0.25">
      <c r="A288">
        <v>287</v>
      </c>
      <c r="B288" t="s">
        <v>130</v>
      </c>
      <c r="C288" s="1">
        <v>46265</v>
      </c>
      <c r="D288" t="s">
        <v>16</v>
      </c>
      <c r="E288">
        <v>1810</v>
      </c>
      <c r="F288">
        <v>4557</v>
      </c>
      <c r="G288" t="s">
        <v>152</v>
      </c>
      <c r="H288" s="2">
        <v>0.75785879629629627</v>
      </c>
      <c r="I288" s="2">
        <v>0.76274305555555555</v>
      </c>
      <c r="J288" s="2">
        <v>4.8842592592592592E-3</v>
      </c>
      <c r="L288" t="s">
        <v>140</v>
      </c>
      <c r="M288" t="s">
        <v>19</v>
      </c>
      <c r="N288" t="s">
        <v>20</v>
      </c>
      <c r="O288" t="s">
        <v>141</v>
      </c>
    </row>
    <row r="289" spans="1:15" x14ac:dyDescent="0.25">
      <c r="A289">
        <v>288</v>
      </c>
      <c r="B289" t="s">
        <v>130</v>
      </c>
      <c r="C289" s="1">
        <v>46265</v>
      </c>
      <c r="D289" t="s">
        <v>16</v>
      </c>
      <c r="E289">
        <v>1810</v>
      </c>
      <c r="F289">
        <v>4557</v>
      </c>
      <c r="G289" t="s">
        <v>179</v>
      </c>
      <c r="H289" s="2">
        <v>0.75785879629629627</v>
      </c>
      <c r="I289" s="2">
        <v>0.7613078703703704</v>
      </c>
      <c r="J289" s="2">
        <v>3.4490740740740745E-3</v>
      </c>
      <c r="L289" t="s">
        <v>140</v>
      </c>
      <c r="M289" t="s">
        <v>19</v>
      </c>
      <c r="N289" t="s">
        <v>20</v>
      </c>
      <c r="O289" t="s">
        <v>141</v>
      </c>
    </row>
    <row r="290" spans="1:15" x14ac:dyDescent="0.25">
      <c r="A290">
        <v>289</v>
      </c>
      <c r="B290" t="s">
        <v>130</v>
      </c>
      <c r="C290" s="1">
        <v>46265</v>
      </c>
      <c r="D290" t="s">
        <v>16</v>
      </c>
      <c r="E290">
        <v>1817</v>
      </c>
      <c r="F290">
        <v>99</v>
      </c>
      <c r="G290" t="s">
        <v>167</v>
      </c>
      <c r="H290" s="2">
        <v>0.7613078703703704</v>
      </c>
      <c r="I290" s="2">
        <v>0.76199074074074069</v>
      </c>
      <c r="J290" s="2">
        <v>6.8287037037037025E-4</v>
      </c>
      <c r="K290">
        <v>2</v>
      </c>
      <c r="L290" t="s">
        <v>160</v>
      </c>
      <c r="M290" t="s">
        <v>161</v>
      </c>
      <c r="N290" t="s">
        <v>162</v>
      </c>
    </row>
    <row r="291" spans="1:15" x14ac:dyDescent="0.25">
      <c r="A291">
        <v>290</v>
      </c>
      <c r="B291" t="s">
        <v>130</v>
      </c>
      <c r="C291" s="1">
        <v>46265</v>
      </c>
      <c r="D291" t="s">
        <v>16</v>
      </c>
      <c r="E291">
        <v>1817</v>
      </c>
      <c r="F291">
        <v>4557</v>
      </c>
      <c r="G291" t="s">
        <v>180</v>
      </c>
      <c r="H291" s="2">
        <v>0.76199074074074069</v>
      </c>
      <c r="I291" s="2">
        <v>0.76274305555555555</v>
      </c>
      <c r="J291" s="2">
        <v>7.5231481481481471E-4</v>
      </c>
      <c r="L291" t="s">
        <v>140</v>
      </c>
      <c r="M291" t="s">
        <v>19</v>
      </c>
      <c r="N291" t="s">
        <v>20</v>
      </c>
      <c r="O291" t="s">
        <v>141</v>
      </c>
    </row>
    <row r="292" spans="1:15" x14ac:dyDescent="0.25">
      <c r="A292">
        <v>291</v>
      </c>
      <c r="B292" t="s">
        <v>130</v>
      </c>
      <c r="C292" s="1">
        <v>46265</v>
      </c>
      <c r="D292" t="s">
        <v>16</v>
      </c>
      <c r="E292">
        <v>1817</v>
      </c>
      <c r="F292">
        <v>1</v>
      </c>
      <c r="G292" t="s">
        <v>22</v>
      </c>
      <c r="H292" s="2">
        <v>0.76274305555555555</v>
      </c>
      <c r="I292" s="2">
        <v>0.76491898148148152</v>
      </c>
      <c r="J292" s="2">
        <v>2.1759259259259258E-3</v>
      </c>
      <c r="L292" t="s">
        <v>23</v>
      </c>
      <c r="M292" t="s">
        <v>24</v>
      </c>
      <c r="N292" t="s">
        <v>22</v>
      </c>
    </row>
    <row r="293" spans="1:15" x14ac:dyDescent="0.25">
      <c r="A293">
        <v>292</v>
      </c>
      <c r="B293" t="s">
        <v>130</v>
      </c>
      <c r="C293" s="1">
        <v>46265</v>
      </c>
      <c r="D293" t="s">
        <v>16</v>
      </c>
      <c r="E293">
        <v>1817</v>
      </c>
      <c r="F293">
        <v>5669</v>
      </c>
      <c r="G293" t="s">
        <v>181</v>
      </c>
      <c r="H293" s="2">
        <v>0.76491898148148152</v>
      </c>
      <c r="I293" s="2">
        <v>0.79359953703703701</v>
      </c>
      <c r="J293" s="2">
        <v>2.8680555555555553E-2</v>
      </c>
      <c r="L293" t="s">
        <v>110</v>
      </c>
      <c r="M293" t="s">
        <v>31</v>
      </c>
      <c r="N293" t="s">
        <v>111</v>
      </c>
      <c r="O293" t="s">
        <v>33</v>
      </c>
    </row>
    <row r="294" spans="1:15" x14ac:dyDescent="0.25">
      <c r="A294">
        <v>293</v>
      </c>
      <c r="B294" t="s">
        <v>130</v>
      </c>
      <c r="C294" s="1">
        <v>46265</v>
      </c>
      <c r="D294" t="s">
        <v>16</v>
      </c>
      <c r="E294">
        <v>1817</v>
      </c>
      <c r="F294">
        <v>5669</v>
      </c>
      <c r="G294" t="s">
        <v>182</v>
      </c>
      <c r="H294" s="2">
        <v>0.76491898148148152</v>
      </c>
      <c r="I294" s="2">
        <v>0.78716435185185185</v>
      </c>
      <c r="J294" s="2">
        <v>2.224537037037037E-2</v>
      </c>
      <c r="L294" t="s">
        <v>110</v>
      </c>
      <c r="M294" t="s">
        <v>31</v>
      </c>
      <c r="N294" t="s">
        <v>111</v>
      </c>
      <c r="O294" t="s">
        <v>33</v>
      </c>
    </row>
    <row r="295" spans="1:15" x14ac:dyDescent="0.25">
      <c r="A295">
        <v>294</v>
      </c>
      <c r="B295" t="s">
        <v>130</v>
      </c>
      <c r="C295" s="1">
        <v>46265</v>
      </c>
      <c r="D295" t="s">
        <v>16</v>
      </c>
      <c r="E295">
        <v>1899</v>
      </c>
      <c r="F295">
        <v>99</v>
      </c>
      <c r="G295" t="s">
        <v>167</v>
      </c>
      <c r="H295" s="2">
        <v>0.78716435185185185</v>
      </c>
      <c r="I295" s="2">
        <v>0.78751157407407402</v>
      </c>
      <c r="J295" s="2">
        <v>3.4722222222222224E-4</v>
      </c>
      <c r="K295">
        <v>1</v>
      </c>
      <c r="L295" t="s">
        <v>160</v>
      </c>
      <c r="M295" t="s">
        <v>161</v>
      </c>
      <c r="N295" t="s">
        <v>162</v>
      </c>
    </row>
    <row r="296" spans="1:15" x14ac:dyDescent="0.25">
      <c r="A296">
        <v>295</v>
      </c>
      <c r="B296" t="s">
        <v>130</v>
      </c>
      <c r="C296" s="1">
        <v>46265</v>
      </c>
      <c r="D296" t="s">
        <v>16</v>
      </c>
      <c r="E296">
        <v>1847</v>
      </c>
      <c r="F296">
        <v>1</v>
      </c>
      <c r="G296" t="s">
        <v>44</v>
      </c>
      <c r="H296" s="2">
        <v>0.78751157407407402</v>
      </c>
      <c r="I296" s="2">
        <v>0.78825231481481473</v>
      </c>
      <c r="J296" s="2">
        <v>7.407407407407407E-4</v>
      </c>
      <c r="L296" t="s">
        <v>23</v>
      </c>
      <c r="M296" t="s">
        <v>24</v>
      </c>
      <c r="N296" t="s">
        <v>22</v>
      </c>
    </row>
    <row r="297" spans="1:15" x14ac:dyDescent="0.25">
      <c r="A297">
        <v>296</v>
      </c>
      <c r="B297" t="s">
        <v>130</v>
      </c>
      <c r="C297" s="1">
        <v>46265</v>
      </c>
      <c r="D297" t="s">
        <v>16</v>
      </c>
      <c r="E297">
        <v>1847</v>
      </c>
      <c r="F297">
        <v>5669</v>
      </c>
      <c r="G297" t="s">
        <v>183</v>
      </c>
      <c r="H297" s="2">
        <v>0.78825231481481473</v>
      </c>
      <c r="I297" s="2">
        <v>0.79359953703703701</v>
      </c>
      <c r="J297" s="2">
        <v>5.347222222222222E-3</v>
      </c>
      <c r="L297" t="s">
        <v>110</v>
      </c>
      <c r="M297" t="s">
        <v>31</v>
      </c>
      <c r="N297" t="s">
        <v>111</v>
      </c>
      <c r="O297" t="s">
        <v>33</v>
      </c>
    </row>
    <row r="298" spans="1:15" x14ac:dyDescent="0.25">
      <c r="A298">
        <v>297</v>
      </c>
      <c r="B298" t="s">
        <v>130</v>
      </c>
      <c r="C298" s="1">
        <v>46265</v>
      </c>
      <c r="D298" t="s">
        <v>16</v>
      </c>
      <c r="E298">
        <v>1899</v>
      </c>
      <c r="F298">
        <v>1</v>
      </c>
      <c r="G298" t="s">
        <v>22</v>
      </c>
      <c r="H298" s="2">
        <v>0.79359953703703701</v>
      </c>
      <c r="I298" s="2">
        <v>0.7952893518518519</v>
      </c>
      <c r="J298" s="2">
        <v>1.689814814814815E-3</v>
      </c>
      <c r="L298" t="s">
        <v>23</v>
      </c>
      <c r="M298" t="s">
        <v>24</v>
      </c>
      <c r="N298" t="s">
        <v>22</v>
      </c>
    </row>
    <row r="299" spans="1:15" x14ac:dyDescent="0.25">
      <c r="A299">
        <v>298</v>
      </c>
      <c r="B299" t="s">
        <v>130</v>
      </c>
      <c r="C299" s="1">
        <v>46265</v>
      </c>
      <c r="D299" t="s">
        <v>16</v>
      </c>
      <c r="E299">
        <v>1899</v>
      </c>
      <c r="F299">
        <v>5684</v>
      </c>
      <c r="G299" t="s">
        <v>184</v>
      </c>
      <c r="H299" s="2">
        <v>0.7952893518518519</v>
      </c>
      <c r="I299" s="2">
        <v>0.82870370370370372</v>
      </c>
      <c r="J299" s="2">
        <v>3.3414351851851855E-2</v>
      </c>
      <c r="L299" t="s">
        <v>110</v>
      </c>
      <c r="M299" t="s">
        <v>31</v>
      </c>
      <c r="N299" t="s">
        <v>111</v>
      </c>
      <c r="O299" t="s">
        <v>33</v>
      </c>
    </row>
    <row r="300" spans="1:15" x14ac:dyDescent="0.25">
      <c r="A300">
        <v>299</v>
      </c>
      <c r="B300" t="s">
        <v>130</v>
      </c>
      <c r="C300" s="1">
        <v>46265</v>
      </c>
      <c r="D300" t="s">
        <v>16</v>
      </c>
      <c r="E300">
        <v>1899</v>
      </c>
      <c r="F300">
        <v>5684</v>
      </c>
      <c r="G300" t="s">
        <v>185</v>
      </c>
      <c r="H300" s="2">
        <v>0.7952893518518519</v>
      </c>
      <c r="I300" s="2">
        <v>0.80194444444444446</v>
      </c>
      <c r="J300" s="2">
        <v>6.6550925925925935E-3</v>
      </c>
      <c r="L300" t="s">
        <v>110</v>
      </c>
      <c r="M300" t="s">
        <v>31</v>
      </c>
      <c r="N300" t="s">
        <v>111</v>
      </c>
      <c r="O300" t="s">
        <v>33</v>
      </c>
    </row>
    <row r="301" spans="1:15" x14ac:dyDescent="0.25">
      <c r="A301">
        <v>300</v>
      </c>
      <c r="B301" t="s">
        <v>130</v>
      </c>
      <c r="C301" s="1">
        <v>46265</v>
      </c>
      <c r="D301" t="s">
        <v>16</v>
      </c>
      <c r="E301">
        <v>1939</v>
      </c>
      <c r="F301">
        <v>99</v>
      </c>
      <c r="G301" t="s">
        <v>167</v>
      </c>
      <c r="H301" s="2">
        <v>0.80194444444444446</v>
      </c>
      <c r="I301" s="2">
        <v>0.80231481481481481</v>
      </c>
      <c r="J301" s="2">
        <v>3.7037037037037035E-4</v>
      </c>
      <c r="K301">
        <v>1</v>
      </c>
      <c r="L301" t="s">
        <v>160</v>
      </c>
      <c r="M301" t="s">
        <v>161</v>
      </c>
      <c r="N301" t="s">
        <v>162</v>
      </c>
    </row>
    <row r="302" spans="1:15" x14ac:dyDescent="0.25">
      <c r="A302">
        <v>301</v>
      </c>
      <c r="B302" t="s">
        <v>130</v>
      </c>
      <c r="C302" s="1">
        <v>46265</v>
      </c>
      <c r="D302" t="s">
        <v>16</v>
      </c>
      <c r="E302">
        <v>1899</v>
      </c>
      <c r="F302">
        <v>1</v>
      </c>
      <c r="G302" t="s">
        <v>44</v>
      </c>
      <c r="H302" s="2">
        <v>0.80231481481481481</v>
      </c>
      <c r="I302" s="2">
        <v>0.80270833333333336</v>
      </c>
      <c r="J302" s="2">
        <v>3.9351851851851852E-4</v>
      </c>
      <c r="L302" t="s">
        <v>23</v>
      </c>
      <c r="M302" t="s">
        <v>24</v>
      </c>
      <c r="N302" t="s">
        <v>22</v>
      </c>
    </row>
    <row r="303" spans="1:15" x14ac:dyDescent="0.25">
      <c r="A303">
        <v>302</v>
      </c>
      <c r="B303" t="s">
        <v>130</v>
      </c>
      <c r="C303" s="1">
        <v>46265</v>
      </c>
      <c r="D303" t="s">
        <v>16</v>
      </c>
      <c r="E303">
        <v>1899</v>
      </c>
      <c r="F303">
        <v>5684</v>
      </c>
      <c r="G303" t="s">
        <v>186</v>
      </c>
      <c r="H303" s="2">
        <v>0.80270833333333336</v>
      </c>
      <c r="I303" s="2">
        <v>0.82870370370370372</v>
      </c>
      <c r="J303" s="2">
        <v>2.5995370370370367E-2</v>
      </c>
      <c r="L303" t="s">
        <v>110</v>
      </c>
      <c r="M303" t="s">
        <v>31</v>
      </c>
      <c r="N303" t="s">
        <v>111</v>
      </c>
      <c r="O303" t="s">
        <v>33</v>
      </c>
    </row>
    <row r="304" spans="1:15" x14ac:dyDescent="0.25">
      <c r="A304">
        <v>303</v>
      </c>
      <c r="B304" t="s">
        <v>130</v>
      </c>
      <c r="C304" s="1">
        <v>46265</v>
      </c>
      <c r="D304" t="s">
        <v>16</v>
      </c>
      <c r="E304">
        <v>1939</v>
      </c>
      <c r="F304">
        <v>5732</v>
      </c>
      <c r="G304" t="str">
        <f>"LEGISLATIVES 2026"</f>
        <v>LEGISLATIVES 2026</v>
      </c>
      <c r="H304" s="2">
        <v>0.82870370370370372</v>
      </c>
      <c r="I304" s="2">
        <v>0.82914351851851853</v>
      </c>
      <c r="J304" s="2">
        <v>4.3981481481481481E-4</v>
      </c>
      <c r="L304" t="s">
        <v>26</v>
      </c>
      <c r="M304" t="s">
        <v>24</v>
      </c>
      <c r="N304" t="s">
        <v>27</v>
      </c>
      <c r="O304" t="s">
        <v>28</v>
      </c>
    </row>
    <row r="305" spans="1:15" x14ac:dyDescent="0.25">
      <c r="A305">
        <v>304</v>
      </c>
      <c r="B305" t="s">
        <v>130</v>
      </c>
      <c r="C305" s="1">
        <v>46265</v>
      </c>
      <c r="D305" t="s">
        <v>16</v>
      </c>
      <c r="E305">
        <v>1939</v>
      </c>
      <c r="F305">
        <v>5683</v>
      </c>
      <c r="G305" t="str">
        <f>"HADA WAQTNA:LEGISLATIVES 2026"</f>
        <v>HADA WAQTNA:LEGISLATIVES 2026</v>
      </c>
      <c r="H305" s="2">
        <v>0.82914351851851853</v>
      </c>
      <c r="I305" s="2">
        <v>0.83074074074074078</v>
      </c>
      <c r="J305" s="2">
        <v>1.5972222222222221E-3</v>
      </c>
      <c r="L305" t="s">
        <v>26</v>
      </c>
      <c r="M305" t="s">
        <v>24</v>
      </c>
      <c r="N305" t="s">
        <v>27</v>
      </c>
      <c r="O305" t="s">
        <v>28</v>
      </c>
    </row>
    <row r="306" spans="1:15" x14ac:dyDescent="0.25">
      <c r="A306">
        <v>305</v>
      </c>
      <c r="B306" t="s">
        <v>130</v>
      </c>
      <c r="C306" s="1">
        <v>46265</v>
      </c>
      <c r="D306" t="s">
        <v>16</v>
      </c>
      <c r="E306">
        <v>2007</v>
      </c>
      <c r="F306">
        <v>1</v>
      </c>
      <c r="G306" t="s">
        <v>22</v>
      </c>
      <c r="H306" s="2">
        <v>0.83074074074074078</v>
      </c>
      <c r="I306" s="2">
        <v>0.83258101851851851</v>
      </c>
      <c r="J306" s="2">
        <v>1.8402777777777777E-3</v>
      </c>
      <c r="L306" t="s">
        <v>23</v>
      </c>
      <c r="M306" t="s">
        <v>24</v>
      </c>
      <c r="N306" t="s">
        <v>22</v>
      </c>
    </row>
    <row r="307" spans="1:15" x14ac:dyDescent="0.25">
      <c r="A307">
        <v>306</v>
      </c>
      <c r="B307" t="s">
        <v>130</v>
      </c>
      <c r="C307" s="1">
        <v>46265</v>
      </c>
      <c r="D307" t="s">
        <v>16</v>
      </c>
      <c r="E307">
        <v>2007</v>
      </c>
      <c r="F307">
        <v>826</v>
      </c>
      <c r="G307" t="s">
        <v>48</v>
      </c>
      <c r="H307" s="2">
        <v>0.83258101851851851</v>
      </c>
      <c r="I307" s="2">
        <v>0.83384259259259252</v>
      </c>
      <c r="J307" s="2">
        <v>1.261574074074074E-3</v>
      </c>
      <c r="L307" t="s">
        <v>46</v>
      </c>
      <c r="M307" t="s">
        <v>47</v>
      </c>
      <c r="N307" t="s">
        <v>48</v>
      </c>
    </row>
    <row r="308" spans="1:15" x14ac:dyDescent="0.25">
      <c r="A308">
        <v>307</v>
      </c>
      <c r="B308" t="s">
        <v>130</v>
      </c>
      <c r="C308" s="1">
        <v>46265</v>
      </c>
      <c r="D308" t="s">
        <v>16</v>
      </c>
      <c r="E308">
        <v>2007</v>
      </c>
      <c r="F308">
        <v>1</v>
      </c>
      <c r="G308" t="s">
        <v>22</v>
      </c>
      <c r="H308" s="2">
        <v>0.83384259259259252</v>
      </c>
      <c r="I308" s="2">
        <v>0.83391203703703709</v>
      </c>
      <c r="J308" s="2">
        <v>6.9444444444444444E-5</v>
      </c>
      <c r="L308" t="s">
        <v>23</v>
      </c>
      <c r="M308" t="s">
        <v>24</v>
      </c>
      <c r="N308" t="s">
        <v>22</v>
      </c>
    </row>
    <row r="309" spans="1:15" x14ac:dyDescent="0.25">
      <c r="A309">
        <v>308</v>
      </c>
      <c r="B309" t="s">
        <v>130</v>
      </c>
      <c r="C309" s="1">
        <v>46265</v>
      </c>
      <c r="D309" t="s">
        <v>16</v>
      </c>
      <c r="E309">
        <v>2007</v>
      </c>
      <c r="F309">
        <v>34</v>
      </c>
      <c r="G309" t="s">
        <v>107</v>
      </c>
      <c r="H309" s="2">
        <v>0.83391203703703709</v>
      </c>
      <c r="I309" s="2">
        <v>0.84983796296296299</v>
      </c>
      <c r="J309" s="2">
        <v>1.5925925925925927E-2</v>
      </c>
      <c r="K309" t="s">
        <v>187</v>
      </c>
      <c r="L309" t="s">
        <v>90</v>
      </c>
      <c r="M309" t="s">
        <v>62</v>
      </c>
      <c r="N309" t="s">
        <v>91</v>
      </c>
    </row>
    <row r="310" spans="1:15" x14ac:dyDescent="0.25">
      <c r="A310">
        <v>309</v>
      </c>
      <c r="B310" t="s">
        <v>130</v>
      </c>
      <c r="C310" s="1">
        <v>46265</v>
      </c>
      <c r="D310" t="s">
        <v>16</v>
      </c>
      <c r="E310">
        <v>2007</v>
      </c>
      <c r="F310">
        <v>5683</v>
      </c>
      <c r="G310" t="str">
        <f>"HADA WAQTNA:LEGISLATIVES 2026"</f>
        <v>HADA WAQTNA:LEGISLATIVES 2026</v>
      </c>
      <c r="H310" s="2">
        <v>0.84983796296296299</v>
      </c>
      <c r="I310" s="2">
        <v>0.85143518518518524</v>
      </c>
      <c r="J310" s="2">
        <v>1.5972222222222221E-3</v>
      </c>
      <c r="L310" t="s">
        <v>26</v>
      </c>
      <c r="M310" t="s">
        <v>24</v>
      </c>
      <c r="N310" t="s">
        <v>27</v>
      </c>
      <c r="O310" t="s">
        <v>28</v>
      </c>
    </row>
    <row r="311" spans="1:15" x14ac:dyDescent="0.25">
      <c r="A311">
        <v>310</v>
      </c>
      <c r="B311" t="s">
        <v>130</v>
      </c>
      <c r="C311" s="1">
        <v>46265</v>
      </c>
      <c r="D311" t="s">
        <v>16</v>
      </c>
      <c r="E311" t="str">
        <f>"BACNSS4"</f>
        <v>BACNSS4</v>
      </c>
      <c r="F311">
        <v>1</v>
      </c>
      <c r="G311" t="s">
        <v>22</v>
      </c>
      <c r="H311" s="2">
        <v>0.85143518518518524</v>
      </c>
      <c r="I311" s="2">
        <v>0.85285879629629635</v>
      </c>
      <c r="J311" s="2">
        <v>1.423611111111111E-3</v>
      </c>
      <c r="L311" t="s">
        <v>23</v>
      </c>
      <c r="M311" t="s">
        <v>24</v>
      </c>
      <c r="N311" t="s">
        <v>22</v>
      </c>
    </row>
    <row r="312" spans="1:15" x14ac:dyDescent="0.25">
      <c r="A312">
        <v>311</v>
      </c>
      <c r="B312" t="s">
        <v>130</v>
      </c>
      <c r="C312" s="1">
        <v>46265</v>
      </c>
      <c r="D312" t="s">
        <v>16</v>
      </c>
      <c r="E312" t="str">
        <f>"BACNSS4"</f>
        <v>BACNSS4</v>
      </c>
      <c r="F312">
        <v>2</v>
      </c>
      <c r="G312" t="s">
        <v>159</v>
      </c>
      <c r="H312" s="2">
        <v>0.85285879629629635</v>
      </c>
      <c r="I312" s="2">
        <v>0.85293981481481485</v>
      </c>
      <c r="J312" s="2">
        <v>8.1018518518518516E-5</v>
      </c>
      <c r="L312" t="s">
        <v>160</v>
      </c>
      <c r="M312" t="s">
        <v>161</v>
      </c>
      <c r="N312" t="s">
        <v>162</v>
      </c>
    </row>
    <row r="313" spans="1:15" x14ac:dyDescent="0.25">
      <c r="A313">
        <v>312</v>
      </c>
      <c r="B313" t="s">
        <v>130</v>
      </c>
      <c r="C313" s="1">
        <v>46265</v>
      </c>
      <c r="D313" t="s">
        <v>16</v>
      </c>
      <c r="E313" t="str">
        <f>"BACNSS4"</f>
        <v>BACNSS4</v>
      </c>
      <c r="F313">
        <v>1</v>
      </c>
      <c r="G313" t="s">
        <v>22</v>
      </c>
      <c r="H313" s="2">
        <v>0.85293981481481485</v>
      </c>
      <c r="I313" s="2">
        <v>0.85299768518518515</v>
      </c>
      <c r="J313" s="2">
        <v>5.7870370370370366E-5</v>
      </c>
      <c r="L313" t="s">
        <v>23</v>
      </c>
      <c r="M313" t="s">
        <v>24</v>
      </c>
      <c r="N313" t="s">
        <v>22</v>
      </c>
    </row>
    <row r="314" spans="1:15" x14ac:dyDescent="0.25">
      <c r="A314">
        <v>313</v>
      </c>
      <c r="B314" t="s">
        <v>130</v>
      </c>
      <c r="C314" s="1">
        <v>46265</v>
      </c>
      <c r="D314" t="s">
        <v>16</v>
      </c>
      <c r="E314">
        <v>2007</v>
      </c>
      <c r="F314">
        <v>21</v>
      </c>
      <c r="G314" t="s">
        <v>59</v>
      </c>
      <c r="H314" s="2">
        <v>0.85299768518518515</v>
      </c>
      <c r="I314" s="2">
        <v>0.85553240740740744</v>
      </c>
      <c r="J314" s="2">
        <v>2.5347222222222221E-3</v>
      </c>
      <c r="K314" t="s">
        <v>188</v>
      </c>
      <c r="L314" t="s">
        <v>61</v>
      </c>
      <c r="M314" t="s">
        <v>62</v>
      </c>
      <c r="N314" t="s">
        <v>63</v>
      </c>
      <c r="O314" t="s">
        <v>64</v>
      </c>
    </row>
    <row r="315" spans="1:15" x14ac:dyDescent="0.25">
      <c r="A315">
        <v>314</v>
      </c>
      <c r="B315" t="s">
        <v>130</v>
      </c>
      <c r="C315" s="1">
        <v>46265</v>
      </c>
      <c r="D315" t="s">
        <v>16</v>
      </c>
      <c r="E315">
        <v>2030</v>
      </c>
      <c r="F315">
        <v>5239</v>
      </c>
      <c r="G315" t="s">
        <v>163</v>
      </c>
      <c r="H315" s="2">
        <v>0.85553240740740744</v>
      </c>
      <c r="I315" s="2">
        <v>0.8558796296296296</v>
      </c>
      <c r="J315" s="2">
        <v>3.4722222222222224E-4</v>
      </c>
      <c r="K315" t="s">
        <v>164</v>
      </c>
      <c r="L315" t="s">
        <v>86</v>
      </c>
      <c r="M315" t="s">
        <v>24</v>
      </c>
      <c r="N315" t="s">
        <v>27</v>
      </c>
      <c r="O315" t="s">
        <v>87</v>
      </c>
    </row>
    <row r="316" spans="1:15" x14ac:dyDescent="0.25">
      <c r="A316">
        <v>315</v>
      </c>
      <c r="B316" t="s">
        <v>130</v>
      </c>
      <c r="C316" s="1">
        <v>46265</v>
      </c>
      <c r="D316" t="s">
        <v>16</v>
      </c>
      <c r="E316">
        <v>2030</v>
      </c>
      <c r="F316">
        <v>1233</v>
      </c>
      <c r="G316" t="s">
        <v>66</v>
      </c>
      <c r="H316" s="2">
        <v>0.8558796296296296</v>
      </c>
      <c r="I316" s="2">
        <v>0.85655092592592597</v>
      </c>
      <c r="J316" s="2">
        <v>6.7129629629629625E-4</v>
      </c>
      <c r="L316" t="s">
        <v>26</v>
      </c>
      <c r="M316" t="s">
        <v>24</v>
      </c>
      <c r="N316" t="s">
        <v>27</v>
      </c>
      <c r="O316" t="s">
        <v>28</v>
      </c>
    </row>
    <row r="317" spans="1:15" x14ac:dyDescent="0.25">
      <c r="A317">
        <v>316</v>
      </c>
      <c r="B317" t="s">
        <v>130</v>
      </c>
      <c r="C317" s="1">
        <v>46265</v>
      </c>
      <c r="D317" t="s">
        <v>16</v>
      </c>
      <c r="E317">
        <v>2030</v>
      </c>
      <c r="F317">
        <v>5732</v>
      </c>
      <c r="G317" t="str">
        <f>"LEGISLATIVES 2026"</f>
        <v>LEGISLATIVES 2026</v>
      </c>
      <c r="H317" s="2">
        <v>0.85655092592592597</v>
      </c>
      <c r="I317" s="2">
        <v>0.85717592592592595</v>
      </c>
      <c r="J317" s="2">
        <v>6.2500000000000001E-4</v>
      </c>
      <c r="L317" t="s">
        <v>26</v>
      </c>
      <c r="M317" t="s">
        <v>24</v>
      </c>
      <c r="N317" t="s">
        <v>27</v>
      </c>
      <c r="O317" t="s">
        <v>28</v>
      </c>
    </row>
    <row r="318" spans="1:15" x14ac:dyDescent="0.25">
      <c r="A318">
        <v>317</v>
      </c>
      <c r="B318" t="s">
        <v>130</v>
      </c>
      <c r="C318" s="1">
        <v>46265</v>
      </c>
      <c r="D318" t="s">
        <v>16</v>
      </c>
      <c r="E318">
        <v>2030</v>
      </c>
      <c r="F318">
        <v>1</v>
      </c>
      <c r="G318" t="s">
        <v>22</v>
      </c>
      <c r="H318" s="2">
        <v>0.85717592592592595</v>
      </c>
      <c r="I318" s="2">
        <v>0.85842592592592604</v>
      </c>
      <c r="J318" s="2">
        <v>1.25E-3</v>
      </c>
      <c r="L318" t="s">
        <v>23</v>
      </c>
      <c r="M318" t="s">
        <v>24</v>
      </c>
      <c r="N318" t="s">
        <v>22</v>
      </c>
    </row>
    <row r="319" spans="1:15" x14ac:dyDescent="0.25">
      <c r="A319">
        <v>318</v>
      </c>
      <c r="B319" t="s">
        <v>130</v>
      </c>
      <c r="C319" s="1">
        <v>46265</v>
      </c>
      <c r="D319" t="s">
        <v>16</v>
      </c>
      <c r="E319">
        <v>2030</v>
      </c>
      <c r="F319">
        <v>2627</v>
      </c>
      <c r="G319" t="s">
        <v>189</v>
      </c>
      <c r="H319" s="2">
        <v>0.85842592592592604</v>
      </c>
      <c r="I319" s="2">
        <v>0.8615046296296297</v>
      </c>
      <c r="J319" s="2">
        <v>3.0787037037037037E-3</v>
      </c>
      <c r="K319" t="s">
        <v>190</v>
      </c>
      <c r="L319" t="s">
        <v>191</v>
      </c>
      <c r="M319" t="s">
        <v>62</v>
      </c>
      <c r="N319" t="s">
        <v>63</v>
      </c>
      <c r="O319" t="s">
        <v>192</v>
      </c>
    </row>
    <row r="320" spans="1:15" x14ac:dyDescent="0.25">
      <c r="A320">
        <v>319</v>
      </c>
      <c r="B320" t="s">
        <v>130</v>
      </c>
      <c r="C320" s="1">
        <v>46265</v>
      </c>
      <c r="D320" t="s">
        <v>16</v>
      </c>
      <c r="E320">
        <v>2030</v>
      </c>
      <c r="F320">
        <v>1</v>
      </c>
      <c r="G320" t="s">
        <v>22</v>
      </c>
      <c r="H320" s="2">
        <v>0.8615046296296297</v>
      </c>
      <c r="I320" s="2">
        <v>0.86293981481481474</v>
      </c>
      <c r="J320" s="2">
        <v>1.4351851851851854E-3</v>
      </c>
      <c r="L320" t="s">
        <v>23</v>
      </c>
      <c r="M320" t="s">
        <v>24</v>
      </c>
      <c r="N320" t="s">
        <v>22</v>
      </c>
    </row>
    <row r="321" spans="1:15" x14ac:dyDescent="0.25">
      <c r="A321">
        <v>320</v>
      </c>
      <c r="B321" t="s">
        <v>130</v>
      </c>
      <c r="C321" s="1">
        <v>46265</v>
      </c>
      <c r="D321" t="s">
        <v>16</v>
      </c>
      <c r="E321">
        <v>2030</v>
      </c>
      <c r="F321">
        <v>5409</v>
      </c>
      <c r="G321" t="s">
        <v>39</v>
      </c>
      <c r="H321" s="2">
        <v>0.86293981481481474</v>
      </c>
      <c r="I321" s="2">
        <v>0.8631712962962963</v>
      </c>
      <c r="J321" s="2">
        <v>2.3148148148148146E-4</v>
      </c>
      <c r="L321" t="s">
        <v>26</v>
      </c>
      <c r="M321" t="s">
        <v>24</v>
      </c>
      <c r="N321" t="s">
        <v>27</v>
      </c>
      <c r="O321" t="s">
        <v>28</v>
      </c>
    </row>
    <row r="322" spans="1:15" x14ac:dyDescent="0.25">
      <c r="A322">
        <v>321</v>
      </c>
      <c r="B322" t="s">
        <v>130</v>
      </c>
      <c r="C322" s="1">
        <v>46265</v>
      </c>
      <c r="D322" t="s">
        <v>16</v>
      </c>
      <c r="E322">
        <v>2030</v>
      </c>
      <c r="F322">
        <v>5696</v>
      </c>
      <c r="G322" t="str">
        <f>"OPERATION MARHABA 2026"</f>
        <v>OPERATION MARHABA 2026</v>
      </c>
      <c r="H322" s="2">
        <v>0.8631712962962963</v>
      </c>
      <c r="I322" s="2">
        <v>0.8636342592592593</v>
      </c>
      <c r="J322" s="2">
        <v>4.6296296296296293E-4</v>
      </c>
      <c r="L322" t="s">
        <v>86</v>
      </c>
      <c r="M322" t="s">
        <v>24</v>
      </c>
      <c r="N322" t="s">
        <v>27</v>
      </c>
      <c r="O322" t="s">
        <v>87</v>
      </c>
    </row>
    <row r="323" spans="1:15" x14ac:dyDescent="0.25">
      <c r="A323">
        <v>322</v>
      </c>
      <c r="B323" t="s">
        <v>130</v>
      </c>
      <c r="C323" s="1">
        <v>46265</v>
      </c>
      <c r="D323" t="s">
        <v>16</v>
      </c>
      <c r="E323">
        <v>2030</v>
      </c>
      <c r="F323">
        <v>1</v>
      </c>
      <c r="G323" t="s">
        <v>22</v>
      </c>
      <c r="H323" s="2">
        <v>0.8636342592592593</v>
      </c>
      <c r="I323" s="2">
        <v>0.86456018518518529</v>
      </c>
      <c r="J323" s="2">
        <v>9.2592592592592585E-4</v>
      </c>
      <c r="L323" t="s">
        <v>23</v>
      </c>
      <c r="M323" t="s">
        <v>24</v>
      </c>
      <c r="N323" t="s">
        <v>22</v>
      </c>
    </row>
    <row r="324" spans="1:15" x14ac:dyDescent="0.25">
      <c r="A324">
        <v>323</v>
      </c>
      <c r="B324" t="s">
        <v>130</v>
      </c>
      <c r="C324" s="1">
        <v>46265</v>
      </c>
      <c r="D324" t="s">
        <v>16</v>
      </c>
      <c r="E324">
        <v>2030</v>
      </c>
      <c r="F324">
        <v>22</v>
      </c>
      <c r="G324" t="s">
        <v>88</v>
      </c>
      <c r="H324" s="2">
        <v>0.86456018518518529</v>
      </c>
      <c r="I324" s="2">
        <v>0.88445601851851852</v>
      </c>
      <c r="J324" s="2">
        <v>1.9895833333333331E-2</v>
      </c>
      <c r="K324" t="s">
        <v>193</v>
      </c>
      <c r="L324" t="s">
        <v>90</v>
      </c>
      <c r="M324" t="s">
        <v>62</v>
      </c>
      <c r="N324" t="s">
        <v>91</v>
      </c>
    </row>
    <row r="325" spans="1:15" x14ac:dyDescent="0.25">
      <c r="A325">
        <v>324</v>
      </c>
      <c r="B325" t="s">
        <v>130</v>
      </c>
      <c r="C325" s="1">
        <v>46265</v>
      </c>
      <c r="D325" t="s">
        <v>16</v>
      </c>
      <c r="E325">
        <v>2042</v>
      </c>
      <c r="F325">
        <v>1233</v>
      </c>
      <c r="G325" t="s">
        <v>66</v>
      </c>
      <c r="H325" s="2">
        <v>0.88445601851851852</v>
      </c>
      <c r="I325" s="2">
        <v>0.88513888888888881</v>
      </c>
      <c r="J325" s="2">
        <v>6.8287037037037025E-4</v>
      </c>
      <c r="L325" t="s">
        <v>26</v>
      </c>
      <c r="M325" t="s">
        <v>24</v>
      </c>
      <c r="N325" t="s">
        <v>27</v>
      </c>
      <c r="O325" t="s">
        <v>28</v>
      </c>
    </row>
    <row r="326" spans="1:15" x14ac:dyDescent="0.25">
      <c r="A326">
        <v>325</v>
      </c>
      <c r="B326" t="s">
        <v>130</v>
      </c>
      <c r="C326" s="1">
        <v>46265</v>
      </c>
      <c r="D326" t="s">
        <v>16</v>
      </c>
      <c r="E326">
        <v>2042</v>
      </c>
      <c r="F326">
        <v>5732</v>
      </c>
      <c r="G326" t="str">
        <f>"LEGISLATIVES 2026"</f>
        <v>LEGISLATIVES 2026</v>
      </c>
      <c r="H326" s="2">
        <v>0.88513888888888881</v>
      </c>
      <c r="I326" s="2">
        <v>0.88555555555555554</v>
      </c>
      <c r="J326" s="2">
        <v>4.1666666666666669E-4</v>
      </c>
      <c r="L326" t="s">
        <v>26</v>
      </c>
      <c r="M326" t="s">
        <v>24</v>
      </c>
      <c r="N326" t="s">
        <v>27</v>
      </c>
      <c r="O326" t="s">
        <v>28</v>
      </c>
    </row>
    <row r="327" spans="1:15" x14ac:dyDescent="0.25">
      <c r="A327">
        <v>326</v>
      </c>
      <c r="B327" t="s">
        <v>130</v>
      </c>
      <c r="C327" s="1">
        <v>46265</v>
      </c>
      <c r="D327" t="s">
        <v>16</v>
      </c>
      <c r="E327">
        <v>2115</v>
      </c>
      <c r="F327">
        <v>1</v>
      </c>
      <c r="G327" t="s">
        <v>22</v>
      </c>
      <c r="H327" s="2">
        <v>0.88555555555555554</v>
      </c>
      <c r="I327" s="2">
        <v>0.88646990740740739</v>
      </c>
      <c r="J327" s="2">
        <v>9.1435185185185185E-4</v>
      </c>
      <c r="L327" t="s">
        <v>23</v>
      </c>
      <c r="M327" t="s">
        <v>24</v>
      </c>
      <c r="N327" t="s">
        <v>22</v>
      </c>
    </row>
    <row r="328" spans="1:15" x14ac:dyDescent="0.25">
      <c r="A328">
        <v>327</v>
      </c>
      <c r="B328" t="s">
        <v>130</v>
      </c>
      <c r="C328" s="1">
        <v>46265</v>
      </c>
      <c r="D328" t="s">
        <v>16</v>
      </c>
      <c r="E328">
        <v>2115</v>
      </c>
      <c r="F328">
        <v>826</v>
      </c>
      <c r="G328" t="s">
        <v>48</v>
      </c>
      <c r="H328" s="2">
        <v>0.88646990740740739</v>
      </c>
      <c r="I328" s="2">
        <v>0.88773148148148151</v>
      </c>
      <c r="J328" s="2">
        <v>1.261574074074074E-3</v>
      </c>
      <c r="L328" t="s">
        <v>46</v>
      </c>
      <c r="M328" t="s">
        <v>47</v>
      </c>
      <c r="N328" t="s">
        <v>48</v>
      </c>
    </row>
    <row r="329" spans="1:15" x14ac:dyDescent="0.25">
      <c r="A329">
        <v>328</v>
      </c>
      <c r="B329" t="s">
        <v>130</v>
      </c>
      <c r="C329" s="1">
        <v>46265</v>
      </c>
      <c r="D329" t="s">
        <v>16</v>
      </c>
      <c r="E329">
        <v>2115</v>
      </c>
      <c r="F329">
        <v>1</v>
      </c>
      <c r="G329" t="s">
        <v>22</v>
      </c>
      <c r="H329" s="2">
        <v>0.88773148148148151</v>
      </c>
      <c r="I329" s="2">
        <v>0.8878125</v>
      </c>
      <c r="J329" s="2">
        <v>8.1018518518518516E-5</v>
      </c>
      <c r="L329" t="s">
        <v>23</v>
      </c>
      <c r="M329" t="s">
        <v>24</v>
      </c>
      <c r="N329" t="s">
        <v>22</v>
      </c>
    </row>
    <row r="330" spans="1:15" x14ac:dyDescent="0.25">
      <c r="A330">
        <v>329</v>
      </c>
      <c r="B330" t="s">
        <v>130</v>
      </c>
      <c r="C330" s="1">
        <v>46265</v>
      </c>
      <c r="D330" t="s">
        <v>16</v>
      </c>
      <c r="E330">
        <v>2115</v>
      </c>
      <c r="F330">
        <v>2629</v>
      </c>
      <c r="G330" t="s">
        <v>194</v>
      </c>
      <c r="H330" s="2">
        <v>0.8878125</v>
      </c>
      <c r="I330" s="2">
        <v>0.89006944444444447</v>
      </c>
      <c r="J330" s="2">
        <v>2.2569444444444447E-3</v>
      </c>
      <c r="K330" t="s">
        <v>195</v>
      </c>
      <c r="L330" t="s">
        <v>191</v>
      </c>
      <c r="M330" t="s">
        <v>62</v>
      </c>
      <c r="N330" t="s">
        <v>63</v>
      </c>
      <c r="O330" t="s">
        <v>192</v>
      </c>
    </row>
    <row r="331" spans="1:15" x14ac:dyDescent="0.25">
      <c r="A331">
        <v>330</v>
      </c>
      <c r="B331" t="s">
        <v>130</v>
      </c>
      <c r="C331" s="1">
        <v>46265</v>
      </c>
      <c r="D331" t="s">
        <v>16</v>
      </c>
      <c r="E331">
        <v>2115</v>
      </c>
      <c r="F331">
        <v>5239</v>
      </c>
      <c r="G331" t="s">
        <v>163</v>
      </c>
      <c r="H331" s="2">
        <v>0.89006944444444447</v>
      </c>
      <c r="I331" s="2">
        <v>0.89047453703703694</v>
      </c>
      <c r="J331" s="2">
        <v>4.0509259259259258E-4</v>
      </c>
      <c r="K331" t="s">
        <v>164</v>
      </c>
      <c r="L331" t="s">
        <v>86</v>
      </c>
      <c r="M331" t="s">
        <v>24</v>
      </c>
      <c r="N331" t="s">
        <v>27</v>
      </c>
      <c r="O331" t="s">
        <v>87</v>
      </c>
    </row>
    <row r="332" spans="1:15" x14ac:dyDescent="0.25">
      <c r="A332">
        <v>331</v>
      </c>
      <c r="B332" t="s">
        <v>130</v>
      </c>
      <c r="C332" s="1">
        <v>46265</v>
      </c>
      <c r="D332" t="s">
        <v>16</v>
      </c>
      <c r="E332">
        <v>2115</v>
      </c>
      <c r="F332">
        <v>21</v>
      </c>
      <c r="G332" t="s">
        <v>59</v>
      </c>
      <c r="H332" s="2">
        <v>0.89047453703703694</v>
      </c>
      <c r="I332" s="2">
        <v>0.89246527777777773</v>
      </c>
      <c r="J332" s="2">
        <v>1.9907407407407408E-3</v>
      </c>
      <c r="K332" t="s">
        <v>154</v>
      </c>
      <c r="L332" t="s">
        <v>61</v>
      </c>
      <c r="M332" t="s">
        <v>62</v>
      </c>
      <c r="N332" t="s">
        <v>63</v>
      </c>
      <c r="O332" t="s">
        <v>64</v>
      </c>
    </row>
    <row r="333" spans="1:15" x14ac:dyDescent="0.25">
      <c r="A333">
        <v>332</v>
      </c>
      <c r="B333" t="s">
        <v>130</v>
      </c>
      <c r="C333" s="1">
        <v>46265</v>
      </c>
      <c r="D333" t="s">
        <v>16</v>
      </c>
      <c r="E333">
        <v>2115</v>
      </c>
      <c r="F333">
        <v>5696</v>
      </c>
      <c r="G333" t="str">
        <f>"OPERATION MARHABA 2026"</f>
        <v>OPERATION MARHABA 2026</v>
      </c>
      <c r="H333" s="2">
        <v>0.89246527777777773</v>
      </c>
      <c r="I333" s="2">
        <v>0.89292824074074073</v>
      </c>
      <c r="J333" s="2">
        <v>4.6296296296296293E-4</v>
      </c>
      <c r="L333" t="s">
        <v>86</v>
      </c>
      <c r="M333" t="s">
        <v>24</v>
      </c>
      <c r="N333" t="s">
        <v>27</v>
      </c>
      <c r="O333" t="s">
        <v>87</v>
      </c>
    </row>
    <row r="334" spans="1:15" x14ac:dyDescent="0.25">
      <c r="A334">
        <v>333</v>
      </c>
      <c r="B334" t="s">
        <v>130</v>
      </c>
      <c r="C334" s="1">
        <v>46265</v>
      </c>
      <c r="D334" t="s">
        <v>16</v>
      </c>
      <c r="E334">
        <v>2115</v>
      </c>
      <c r="F334">
        <v>5665</v>
      </c>
      <c r="G334" t="str">
        <f>"SA3AT ASSARAHA"</f>
        <v>SA3AT ASSARAHA</v>
      </c>
      <c r="H334" s="2">
        <v>0.89292824074074073</v>
      </c>
      <c r="I334" s="2">
        <v>0.9443287037037037</v>
      </c>
      <c r="J334" s="2">
        <v>5.1400462962962967E-2</v>
      </c>
      <c r="K334" t="str">
        <f>"KHASS 3AN AL INTIKHABATE"</f>
        <v>KHASS 3AN AL INTIKHABATE</v>
      </c>
      <c r="L334" t="s">
        <v>76</v>
      </c>
      <c r="M334" t="s">
        <v>19</v>
      </c>
      <c r="N334" t="s">
        <v>20</v>
      </c>
      <c r="O334" t="s">
        <v>77</v>
      </c>
    </row>
    <row r="335" spans="1:15" x14ac:dyDescent="0.25">
      <c r="A335">
        <v>334</v>
      </c>
      <c r="B335" t="s">
        <v>130</v>
      </c>
      <c r="C335" s="1">
        <v>46265</v>
      </c>
      <c r="D335" t="s">
        <v>16</v>
      </c>
      <c r="E335">
        <v>2230</v>
      </c>
      <c r="F335">
        <v>1233</v>
      </c>
      <c r="G335" t="s">
        <v>66</v>
      </c>
      <c r="H335" s="2">
        <v>0.9443287037037037</v>
      </c>
      <c r="I335" s="2">
        <v>0.94499999999999995</v>
      </c>
      <c r="J335" s="2">
        <v>6.7129629629629625E-4</v>
      </c>
      <c r="L335" t="s">
        <v>26</v>
      </c>
      <c r="M335" t="s">
        <v>24</v>
      </c>
      <c r="N335" t="s">
        <v>27</v>
      </c>
      <c r="O335" t="s">
        <v>28</v>
      </c>
    </row>
    <row r="336" spans="1:15" x14ac:dyDescent="0.25">
      <c r="A336">
        <v>335</v>
      </c>
      <c r="B336" t="s">
        <v>130</v>
      </c>
      <c r="C336" s="1">
        <v>46265</v>
      </c>
      <c r="D336" t="s">
        <v>16</v>
      </c>
      <c r="E336">
        <v>2239</v>
      </c>
      <c r="F336">
        <v>5683</v>
      </c>
      <c r="G336" t="str">
        <f>"HADA WAQTNA:LEGISLATIVES 2026"</f>
        <v>HADA WAQTNA:LEGISLATIVES 2026</v>
      </c>
      <c r="H336" s="2">
        <v>0.94499999999999995</v>
      </c>
      <c r="I336" s="2">
        <v>0.9465972222222222</v>
      </c>
      <c r="J336" s="2">
        <v>1.5972222222222221E-3</v>
      </c>
      <c r="L336" t="s">
        <v>26</v>
      </c>
      <c r="M336" t="s">
        <v>24</v>
      </c>
      <c r="N336" t="s">
        <v>27</v>
      </c>
      <c r="O336" t="s">
        <v>28</v>
      </c>
    </row>
    <row r="337" spans="1:15" x14ac:dyDescent="0.25">
      <c r="A337">
        <v>336</v>
      </c>
      <c r="B337" t="s">
        <v>130</v>
      </c>
      <c r="C337" s="1">
        <v>46265</v>
      </c>
      <c r="D337" t="s">
        <v>16</v>
      </c>
      <c r="E337">
        <v>2230</v>
      </c>
      <c r="F337">
        <v>99</v>
      </c>
      <c r="G337" t="s">
        <v>161</v>
      </c>
      <c r="H337" s="2">
        <v>0.9465972222222222</v>
      </c>
      <c r="I337" s="2">
        <v>0.94709490740740743</v>
      </c>
      <c r="J337" s="2">
        <v>4.9768518518518521E-4</v>
      </c>
      <c r="K337">
        <v>1</v>
      </c>
      <c r="L337" t="s">
        <v>160</v>
      </c>
      <c r="M337" t="s">
        <v>161</v>
      </c>
      <c r="N337" t="s">
        <v>162</v>
      </c>
    </row>
    <row r="338" spans="1:15" x14ac:dyDescent="0.25">
      <c r="A338">
        <v>337</v>
      </c>
      <c r="B338" t="s">
        <v>130</v>
      </c>
      <c r="C338" s="1">
        <v>46265</v>
      </c>
      <c r="D338" t="s">
        <v>16</v>
      </c>
      <c r="E338">
        <v>2239</v>
      </c>
      <c r="F338">
        <v>5196</v>
      </c>
      <c r="G338" t="s">
        <v>196</v>
      </c>
      <c r="H338" s="2">
        <v>0.94709490740740743</v>
      </c>
      <c r="I338" s="3">
        <v>1.013449074074074</v>
      </c>
      <c r="J338" s="2">
        <v>6.6354166666666659E-2</v>
      </c>
      <c r="L338" t="s">
        <v>197</v>
      </c>
      <c r="M338" t="s">
        <v>31</v>
      </c>
      <c r="N338" t="s">
        <v>198</v>
      </c>
      <c r="O338" t="s">
        <v>33</v>
      </c>
    </row>
    <row r="339" spans="1:15" x14ac:dyDescent="0.25">
      <c r="A339">
        <v>338</v>
      </c>
      <c r="B339" t="s">
        <v>130</v>
      </c>
      <c r="C339" s="1">
        <v>46265</v>
      </c>
      <c r="D339" t="s">
        <v>16</v>
      </c>
      <c r="E339">
        <v>2239</v>
      </c>
      <c r="F339">
        <v>5196</v>
      </c>
      <c r="G339" t="s">
        <v>199</v>
      </c>
      <c r="H339" s="2">
        <v>0.94709490740740743</v>
      </c>
      <c r="I339" s="2">
        <v>0.96054398148148146</v>
      </c>
      <c r="J339" s="2">
        <v>1.3449074074074073E-2</v>
      </c>
      <c r="L339" t="s">
        <v>197</v>
      </c>
      <c r="M339" t="s">
        <v>31</v>
      </c>
      <c r="N339" t="s">
        <v>198</v>
      </c>
      <c r="O339" t="s">
        <v>33</v>
      </c>
    </row>
    <row r="340" spans="1:15" x14ac:dyDescent="0.25">
      <c r="A340">
        <v>339</v>
      </c>
      <c r="B340" t="s">
        <v>130</v>
      </c>
      <c r="C340" s="1">
        <v>46265</v>
      </c>
      <c r="D340" t="s">
        <v>16</v>
      </c>
      <c r="E340">
        <v>2259</v>
      </c>
      <c r="F340">
        <v>1</v>
      </c>
      <c r="G340" t="s">
        <v>44</v>
      </c>
      <c r="H340" s="2">
        <v>0.96054398148148146</v>
      </c>
      <c r="I340" s="2">
        <v>0.96127314814814813</v>
      </c>
      <c r="J340" s="2">
        <v>7.291666666666667E-4</v>
      </c>
      <c r="L340" t="s">
        <v>23</v>
      </c>
      <c r="M340" t="s">
        <v>24</v>
      </c>
      <c r="N340" t="s">
        <v>22</v>
      </c>
    </row>
    <row r="341" spans="1:15" x14ac:dyDescent="0.25">
      <c r="A341">
        <v>340</v>
      </c>
      <c r="B341" t="s">
        <v>130</v>
      </c>
      <c r="C341" s="1">
        <v>46265</v>
      </c>
      <c r="D341" t="s">
        <v>16</v>
      </c>
      <c r="E341">
        <v>2259</v>
      </c>
      <c r="F341">
        <v>5196</v>
      </c>
      <c r="G341" t="s">
        <v>200</v>
      </c>
      <c r="H341" s="2">
        <v>0.96127314814814813</v>
      </c>
      <c r="I341" s="3">
        <v>1.013449074074074</v>
      </c>
      <c r="J341" s="2">
        <v>5.2175925925925924E-2</v>
      </c>
      <c r="L341" t="s">
        <v>197</v>
      </c>
      <c r="M341" t="s">
        <v>31</v>
      </c>
      <c r="N341" t="s">
        <v>198</v>
      </c>
      <c r="O341" t="s">
        <v>33</v>
      </c>
    </row>
    <row r="342" spans="1:15" x14ac:dyDescent="0.25">
      <c r="A342">
        <v>341</v>
      </c>
      <c r="B342" t="s">
        <v>130</v>
      </c>
      <c r="C342" s="1">
        <v>46265</v>
      </c>
      <c r="D342" t="s">
        <v>16</v>
      </c>
      <c r="E342">
        <v>2409</v>
      </c>
      <c r="F342">
        <v>1</v>
      </c>
      <c r="G342" t="s">
        <v>22</v>
      </c>
      <c r="H342" s="3">
        <v>1.013449074074074</v>
      </c>
      <c r="I342" s="3">
        <v>1.0147453703703704</v>
      </c>
      <c r="J342" s="2">
        <v>1.2962962962962963E-3</v>
      </c>
      <c r="L342" t="s">
        <v>23</v>
      </c>
      <c r="M342" t="s">
        <v>24</v>
      </c>
      <c r="N342" t="s">
        <v>22</v>
      </c>
    </row>
    <row r="343" spans="1:15" x14ac:dyDescent="0.25">
      <c r="A343">
        <v>342</v>
      </c>
      <c r="B343" t="s">
        <v>130</v>
      </c>
      <c r="C343" s="1">
        <v>46265</v>
      </c>
      <c r="D343" t="s">
        <v>16</v>
      </c>
      <c r="E343">
        <v>2409</v>
      </c>
      <c r="F343">
        <v>5407</v>
      </c>
      <c r="G343" t="s">
        <v>65</v>
      </c>
      <c r="H343" s="3">
        <v>1.0147453703703704</v>
      </c>
      <c r="I343" s="3">
        <v>1.0149884259259259</v>
      </c>
      <c r="J343" s="2">
        <v>2.4305555555555552E-4</v>
      </c>
      <c r="L343" t="s">
        <v>26</v>
      </c>
      <c r="M343" t="s">
        <v>24</v>
      </c>
      <c r="N343" t="s">
        <v>27</v>
      </c>
      <c r="O343" t="s">
        <v>28</v>
      </c>
    </row>
    <row r="344" spans="1:15" x14ac:dyDescent="0.25">
      <c r="A344">
        <v>343</v>
      </c>
      <c r="B344" t="s">
        <v>130</v>
      </c>
      <c r="C344" s="1">
        <v>46265</v>
      </c>
      <c r="D344" t="s">
        <v>16</v>
      </c>
      <c r="E344">
        <v>2409</v>
      </c>
      <c r="F344">
        <v>5669</v>
      </c>
      <c r="G344" t="s">
        <v>181</v>
      </c>
      <c r="H344" s="3">
        <v>1.0149884259259259</v>
      </c>
      <c r="I344" s="3">
        <v>1.0425810185185185</v>
      </c>
      <c r="J344" s="2">
        <v>2.7592592592592596E-2</v>
      </c>
      <c r="K344" t="s">
        <v>36</v>
      </c>
      <c r="L344" t="s">
        <v>110</v>
      </c>
      <c r="M344" t="s">
        <v>31</v>
      </c>
      <c r="N344" t="s">
        <v>111</v>
      </c>
      <c r="O344" t="s">
        <v>33</v>
      </c>
    </row>
    <row r="345" spans="1:15" x14ac:dyDescent="0.25">
      <c r="A345">
        <v>344</v>
      </c>
      <c r="B345" t="s">
        <v>130</v>
      </c>
      <c r="C345" s="1">
        <v>46265</v>
      </c>
      <c r="D345" t="s">
        <v>16</v>
      </c>
      <c r="E345">
        <v>2439</v>
      </c>
      <c r="F345">
        <v>5649</v>
      </c>
      <c r="G345" t="s">
        <v>156</v>
      </c>
      <c r="H345" s="3">
        <v>1.0425810185185185</v>
      </c>
      <c r="I345" s="3">
        <v>1.0700115740740741</v>
      </c>
      <c r="J345" s="2">
        <v>2.7430555555555555E-2</v>
      </c>
      <c r="K345" t="s">
        <v>36</v>
      </c>
      <c r="L345" t="s">
        <v>30</v>
      </c>
      <c r="M345" t="s">
        <v>31</v>
      </c>
      <c r="N345" t="s">
        <v>32</v>
      </c>
      <c r="O345" t="s">
        <v>33</v>
      </c>
    </row>
    <row r="346" spans="1:15" x14ac:dyDescent="0.25">
      <c r="A346">
        <v>345</v>
      </c>
      <c r="B346" t="s">
        <v>130</v>
      </c>
      <c r="C346" s="1">
        <v>46265</v>
      </c>
      <c r="D346" t="s">
        <v>16</v>
      </c>
      <c r="E346">
        <v>2439</v>
      </c>
      <c r="F346">
        <v>5649</v>
      </c>
      <c r="G346" t="s">
        <v>157</v>
      </c>
      <c r="H346" s="3">
        <v>1.0425810185185185</v>
      </c>
      <c r="I346" s="3">
        <v>1.0501736111111111</v>
      </c>
      <c r="J346" s="2">
        <v>7.5925925925925926E-3</v>
      </c>
      <c r="K346" t="s">
        <v>36</v>
      </c>
      <c r="L346" t="s">
        <v>30</v>
      </c>
      <c r="M346" t="s">
        <v>31</v>
      </c>
      <c r="N346" t="s">
        <v>32</v>
      </c>
      <c r="O346" t="s">
        <v>33</v>
      </c>
    </row>
    <row r="347" spans="1:15" x14ac:dyDescent="0.25">
      <c r="A347">
        <v>346</v>
      </c>
      <c r="B347" t="s">
        <v>130</v>
      </c>
      <c r="C347" s="1">
        <v>46265</v>
      </c>
      <c r="D347" t="s">
        <v>16</v>
      </c>
      <c r="E347">
        <v>2439</v>
      </c>
      <c r="F347">
        <v>1</v>
      </c>
      <c r="G347" t="s">
        <v>44</v>
      </c>
      <c r="H347" s="3">
        <v>1.0501736111111111</v>
      </c>
      <c r="I347" s="3">
        <v>1.0506828703703703</v>
      </c>
      <c r="J347" s="2">
        <v>5.0925925925925921E-4</v>
      </c>
      <c r="L347" t="s">
        <v>23</v>
      </c>
      <c r="M347" t="s">
        <v>24</v>
      </c>
      <c r="N347" t="s">
        <v>22</v>
      </c>
    </row>
    <row r="348" spans="1:15" x14ac:dyDescent="0.25">
      <c r="A348">
        <v>347</v>
      </c>
      <c r="B348" t="s">
        <v>130</v>
      </c>
      <c r="C348" s="1">
        <v>46265</v>
      </c>
      <c r="D348" t="s">
        <v>16</v>
      </c>
      <c r="E348">
        <v>2439</v>
      </c>
      <c r="F348">
        <v>5649</v>
      </c>
      <c r="G348" t="s">
        <v>158</v>
      </c>
      <c r="H348" s="3">
        <v>1.0506828703703703</v>
      </c>
      <c r="I348" s="3">
        <v>1.0700115740740741</v>
      </c>
      <c r="J348" s="2">
        <v>1.9328703703703702E-2</v>
      </c>
      <c r="K348" t="s">
        <v>36</v>
      </c>
      <c r="L348" t="s">
        <v>30</v>
      </c>
      <c r="M348" t="s">
        <v>31</v>
      </c>
      <c r="N348" t="s">
        <v>32</v>
      </c>
      <c r="O348" t="s">
        <v>33</v>
      </c>
    </row>
    <row r="349" spans="1:15" x14ac:dyDescent="0.25">
      <c r="A349">
        <v>348</v>
      </c>
      <c r="B349" t="s">
        <v>130</v>
      </c>
      <c r="C349" s="1">
        <v>46265</v>
      </c>
      <c r="D349" t="s">
        <v>16</v>
      </c>
      <c r="E349">
        <v>2530</v>
      </c>
      <c r="F349">
        <v>1</v>
      </c>
      <c r="G349" t="s">
        <v>22</v>
      </c>
      <c r="H349" s="3">
        <v>1.0700115740740741</v>
      </c>
      <c r="I349" s="3">
        <v>1.0705439814814814</v>
      </c>
      <c r="J349" s="2">
        <v>5.3240740740740744E-4</v>
      </c>
      <c r="L349" t="s">
        <v>23</v>
      </c>
      <c r="M349" t="s">
        <v>24</v>
      </c>
      <c r="N349" t="s">
        <v>22</v>
      </c>
    </row>
    <row r="350" spans="1:15" x14ac:dyDescent="0.25">
      <c r="A350">
        <v>349</v>
      </c>
      <c r="B350" t="s">
        <v>130</v>
      </c>
      <c r="C350" s="1">
        <v>46265</v>
      </c>
      <c r="D350" t="s">
        <v>16</v>
      </c>
      <c r="E350">
        <v>2530</v>
      </c>
      <c r="F350">
        <v>3579</v>
      </c>
      <c r="G350" t="s">
        <v>201</v>
      </c>
      <c r="H350" s="3">
        <v>1.0705439814814814</v>
      </c>
      <c r="I350" s="3">
        <v>1.1190856481481481</v>
      </c>
      <c r="J350" s="2">
        <v>4.854166666666667E-2</v>
      </c>
      <c r="K350" t="s">
        <v>202</v>
      </c>
      <c r="L350" t="s">
        <v>203</v>
      </c>
      <c r="M350" t="s">
        <v>134</v>
      </c>
      <c r="N350" t="s">
        <v>204</v>
      </c>
    </row>
    <row r="351" spans="1:15" x14ac:dyDescent="0.25">
      <c r="A351">
        <v>350</v>
      </c>
      <c r="B351" t="s">
        <v>130</v>
      </c>
      <c r="C351" s="1">
        <v>46265</v>
      </c>
      <c r="D351" t="s">
        <v>16</v>
      </c>
      <c r="E351">
        <v>2639</v>
      </c>
      <c r="F351">
        <v>1</v>
      </c>
      <c r="G351" t="s">
        <v>22</v>
      </c>
      <c r="H351" s="3">
        <v>1.1190856481481481</v>
      </c>
      <c r="I351" s="3">
        <v>1.1203587962962962</v>
      </c>
      <c r="J351" s="2">
        <v>1.2731481481481483E-3</v>
      </c>
      <c r="L351" t="s">
        <v>23</v>
      </c>
      <c r="M351" t="s">
        <v>24</v>
      </c>
      <c r="N351" t="s">
        <v>22</v>
      </c>
    </row>
    <row r="352" spans="1:15" x14ac:dyDescent="0.25">
      <c r="A352">
        <v>351</v>
      </c>
      <c r="B352" t="s">
        <v>130</v>
      </c>
      <c r="C352" s="1">
        <v>46265</v>
      </c>
      <c r="D352" t="s">
        <v>16</v>
      </c>
      <c r="E352">
        <v>2639</v>
      </c>
      <c r="F352">
        <v>5605</v>
      </c>
      <c r="G352" t="s">
        <v>205</v>
      </c>
      <c r="H352" s="3">
        <v>1.1203587962962962</v>
      </c>
      <c r="I352" s="3">
        <v>1.125</v>
      </c>
      <c r="J352" s="2">
        <v>4.6412037037037038E-3</v>
      </c>
      <c r="K352" t="str">
        <f>"PRIME 7"</f>
        <v>PRIME 7</v>
      </c>
      <c r="L352" t="s">
        <v>133</v>
      </c>
      <c r="M352" t="s">
        <v>134</v>
      </c>
      <c r="N352" t="s">
        <v>135</v>
      </c>
      <c r="O352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sheetData>
    <row r="1" spans="1:2" x14ac:dyDescent="0.25">
      <c r="A1" t="s">
        <v>206</v>
      </c>
      <c r="B1" t="s">
        <v>207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210</v>
      </c>
      <c r="B3" t="s">
        <v>211</v>
      </c>
    </row>
    <row r="4" spans="1:2" x14ac:dyDescent="0.25">
      <c r="A4" t="s">
        <v>212</v>
      </c>
      <c r="B4" t="s">
        <v>213</v>
      </c>
    </row>
    <row r="5" spans="1:2" x14ac:dyDescent="0.25">
      <c r="A5" t="s">
        <v>214</v>
      </c>
      <c r="B5" t="str">
        <f>"31/08/2026"</f>
        <v>31/08/2026</v>
      </c>
    </row>
    <row r="6" spans="1:2" x14ac:dyDescent="0.25">
      <c r="A6" t="s">
        <v>215</v>
      </c>
      <c r="B6" t="str">
        <f>"[Ind]:Individus 5+"</f>
        <v>[Ind]:Individus 5+</v>
      </c>
    </row>
    <row r="7" spans="1:2" x14ac:dyDescent="0.25">
      <c r="A7" t="s">
        <v>216</v>
      </c>
      <c r="B7" t="str">
        <f>"Individus 5+"</f>
        <v>Individus 5+</v>
      </c>
    </row>
    <row r="8" spans="1:2" x14ac:dyDescent="0.25">
      <c r="A8" t="s">
        <v>217</v>
      </c>
      <c r="B8" t="s">
        <v>218</v>
      </c>
    </row>
    <row r="9" spans="1:2" x14ac:dyDescent="0.25">
      <c r="A9" t="s">
        <v>219</v>
      </c>
      <c r="B9" t="s">
        <v>220</v>
      </c>
    </row>
    <row r="10" spans="1:2" x14ac:dyDescent="0.25">
      <c r="A10" t="s">
        <v>221</v>
      </c>
      <c r="B10" s="4">
        <v>46272.490324074075</v>
      </c>
    </row>
    <row r="11" spans="1:2" x14ac:dyDescent="0.25">
      <c r="A11" t="s">
        <v>222</v>
      </c>
      <c r="B11" t="s">
        <v>223</v>
      </c>
    </row>
    <row r="12" spans="1:2" x14ac:dyDescent="0.25">
      <c r="B12" t="str">
        <f>"Cible; Chaîne; Date; Jour Nommé; Code Ecran; Code Program; Programme; H.Début; H.Fin; Durée; Libellé Complémentaire; Code Genre; Genre Niv.1; Genre Niv.2; Genre Niv.3; TM%; PdA; TME"</f>
        <v>Cible; Chaîne; Date; Jour Nommé; Code Ecran; Code Program; Programme; H.Début; H.Fin; Durée; Libellé Complémentaire; Code Genre; Genre Niv.1; Genre Niv.2; Genre Niv.3; TM%; PdA; TME</v>
      </c>
    </row>
    <row r="13" spans="1:2" x14ac:dyDescent="0.25">
      <c r="A13" t="s">
        <v>224</v>
      </c>
      <c r="B13" t="str">
        <f>"For Target [Individus 5+] ..."</f>
        <v>For Target [Individus 5+] ...</v>
      </c>
    </row>
    <row r="14" spans="1:2" x14ac:dyDescent="0.25">
      <c r="B14" t="str">
        <f>" For Region [Maroc] Universe 3400.4; Sample 3495 ( 100.00% )"</f>
        <v xml:space="preserve"> For Region [Maroc] Universe 3400.4; Sample 3495 ( 100.00% )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2026-09-07T10:46:25Z</dcterms:created>
  <dcterms:modified xsi:type="dcterms:W3CDTF">2026-09-07T10:46:41Z</dcterms:modified>
</cp:coreProperties>
</file>